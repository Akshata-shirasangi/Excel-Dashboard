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akshi\Downloads\"/>
    </mc:Choice>
  </mc:AlternateContent>
  <xr:revisionPtr revIDLastSave="0" documentId="13_ncr:1_{061D09DF-BAEA-43DA-8869-AE7734358F7A}" xr6:coauthVersionLast="47" xr6:coauthVersionMax="47" xr10:uidLastSave="{00000000-0000-0000-0000-000000000000}"/>
  <bookViews>
    <workbookView xWindow="-110" yWindow="-110" windowWidth="19420" windowHeight="11020" xr2:uid="{CE120CA2-B4E2-4FC9-9B81-FB00098FDFE6}"/>
  </bookViews>
  <sheets>
    <sheet name="dashboard" sheetId="6" r:id="rId1"/>
    <sheet name="pivot_data" sheetId="5" r:id="rId2"/>
    <sheet name="Project Management Data" sheetId="2" r:id="rId3"/>
  </sheets>
  <definedNames>
    <definedName name="Slicer_Assigned_to">#N/A</definedName>
    <definedName name="Slicer_Project_Name">#N/A</definedName>
    <definedName name="Slicer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8" i="5" l="1"/>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7" i="2"/>
  <c r="L20" i="5"/>
  <c r="A10" i="5"/>
  <c r="L19" i="5"/>
  <c r="L21" i="5"/>
</calcChain>
</file>

<file path=xl/sharedStrings.xml><?xml version="1.0" encoding="utf-8"?>
<sst xmlns="http://schemas.openxmlformats.org/spreadsheetml/2006/main" count="220" uniqueCount="123">
  <si>
    <t>Excel Sample Data</t>
  </si>
  <si>
    <t>Project Management Data</t>
  </si>
  <si>
    <t>Project Name</t>
  </si>
  <si>
    <t>Task Name</t>
  </si>
  <si>
    <t>Assigned to</t>
  </si>
  <si>
    <t>Start Date</t>
  </si>
  <si>
    <t>Days Required</t>
  </si>
  <si>
    <t>End Date</t>
  </si>
  <si>
    <t>Progress</t>
  </si>
  <si>
    <t>Marketing</t>
  </si>
  <si>
    <t>Market Research</t>
  </si>
  <si>
    <t>Alice</t>
  </si>
  <si>
    <t>Content Creation</t>
  </si>
  <si>
    <t>Bob</t>
  </si>
  <si>
    <t>Social Media Planning</t>
  </si>
  <si>
    <t>Charlie</t>
  </si>
  <si>
    <t>Campaign Analysis</t>
  </si>
  <si>
    <t>Daisy</t>
  </si>
  <si>
    <t>Product Dev</t>
  </si>
  <si>
    <t>Prototype Development</t>
  </si>
  <si>
    <t>Ethan</t>
  </si>
  <si>
    <t>Quality Assurance</t>
  </si>
  <si>
    <t>Fiona</t>
  </si>
  <si>
    <t>User Interface Design</t>
  </si>
  <si>
    <t>Gabriel</t>
  </si>
  <si>
    <t>Customer Svc</t>
  </si>
  <si>
    <t>Service Improvement</t>
  </si>
  <si>
    <t>Hannah</t>
  </si>
  <si>
    <t>Ticket Resolution</t>
  </si>
  <si>
    <t>Ian</t>
  </si>
  <si>
    <t>Customer Feedback</t>
  </si>
  <si>
    <t>Julia</t>
  </si>
  <si>
    <t>Financial</t>
  </si>
  <si>
    <t>Budget Analysis</t>
  </si>
  <si>
    <t>Kevin</t>
  </si>
  <si>
    <t>Financial Reporting</t>
  </si>
  <si>
    <t>Mark</t>
  </si>
  <si>
    <t>Investment Planning</t>
  </si>
  <si>
    <t>Research</t>
  </si>
  <si>
    <t>Market Trends Analysis</t>
  </si>
  <si>
    <t>Nathan</t>
  </si>
  <si>
    <t>Data Collection</t>
  </si>
  <si>
    <t>Olivia</t>
  </si>
  <si>
    <t>Research Paper Writing</t>
  </si>
  <si>
    <t>Peter</t>
  </si>
  <si>
    <t>Development</t>
  </si>
  <si>
    <t>Software Development</t>
  </si>
  <si>
    <t>Quinn</t>
  </si>
  <si>
    <t>Feature Enhancement</t>
  </si>
  <si>
    <t>Rachel</t>
  </si>
  <si>
    <t>Code Review</t>
  </si>
  <si>
    <t>Sam</t>
  </si>
  <si>
    <t>Production</t>
  </si>
  <si>
    <t>Manufacturing</t>
  </si>
  <si>
    <t>Tim</t>
  </si>
  <si>
    <t>Quality Control</t>
  </si>
  <si>
    <t>Ursula</t>
  </si>
  <si>
    <t>Packaging Design</t>
  </si>
  <si>
    <t>Victor</t>
  </si>
  <si>
    <t>Sales</t>
  </si>
  <si>
    <t>Lead Generation</t>
  </si>
  <si>
    <t>Wendy</t>
  </si>
  <si>
    <t>Client Meetings</t>
  </si>
  <si>
    <t>Xavier</t>
  </si>
  <si>
    <t>Contract Negotiation</t>
  </si>
  <si>
    <t>Yvette</t>
  </si>
  <si>
    <t>Support</t>
  </si>
  <si>
    <t>Technical Support</t>
  </si>
  <si>
    <t>Zoe</t>
  </si>
  <si>
    <t>Bug Fixes</t>
  </si>
  <si>
    <t>Aaron</t>
  </si>
  <si>
    <t>Software Updates</t>
  </si>
  <si>
    <t>Bella</t>
  </si>
  <si>
    <t>Operations</t>
  </si>
  <si>
    <t>Process Optimization</t>
  </si>
  <si>
    <t>Calvin</t>
  </si>
  <si>
    <t>Inventory Management</t>
  </si>
  <si>
    <t>Diane</t>
  </si>
  <si>
    <t>Facility Maintenance</t>
  </si>
  <si>
    <t>Edward</t>
  </si>
  <si>
    <t>Consulting</t>
  </si>
  <si>
    <t>Strategic Planning</t>
  </si>
  <si>
    <t>Market Expansion</t>
  </si>
  <si>
    <t>Gary</t>
  </si>
  <si>
    <t>Client Advisory</t>
  </si>
  <si>
    <t>Helen</t>
  </si>
  <si>
    <t>Training</t>
  </si>
  <si>
    <t>Employee Training</t>
  </si>
  <si>
    <t>Isaac</t>
  </si>
  <si>
    <t>Certification Programs</t>
  </si>
  <si>
    <t>Jane</t>
  </si>
  <si>
    <t>Skill Development</t>
  </si>
  <si>
    <t>Kyle</t>
  </si>
  <si>
    <t>Events</t>
  </si>
  <si>
    <t>Event Planning</t>
  </si>
  <si>
    <t>Laura</t>
  </si>
  <si>
    <t>Conference Management</t>
  </si>
  <si>
    <t>Mike</t>
  </si>
  <si>
    <t>Sponsorship Coordinatio</t>
  </si>
  <si>
    <t>n Nancy</t>
  </si>
  <si>
    <t>Logistics</t>
  </si>
  <si>
    <t>Supply Chain Management</t>
  </si>
  <si>
    <t>Oscar</t>
  </si>
  <si>
    <t>Transportation Planning</t>
  </si>
  <si>
    <t>Patricia</t>
  </si>
  <si>
    <t>Inventory Optimization</t>
  </si>
  <si>
    <t>Quentin</t>
  </si>
  <si>
    <t>Engineering</t>
  </si>
  <si>
    <t>Product Design</t>
  </si>
  <si>
    <t>System Integration</t>
  </si>
  <si>
    <t>Prototype Testing</t>
  </si>
  <si>
    <t>Tom</t>
  </si>
  <si>
    <t>In Progress</t>
  </si>
  <si>
    <t>Status</t>
  </si>
  <si>
    <t>Duration Type</t>
  </si>
  <si>
    <t>Row Labels</t>
  </si>
  <si>
    <t>Completed</t>
  </si>
  <si>
    <t>Not Started</t>
  </si>
  <si>
    <t>Count of Task Name</t>
  </si>
  <si>
    <t>Average of Progress</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</si>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</sst>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sz val="11"/>
      <color theme="1"/>
      <name val="Aptos Narrow"/>
      <family val="2"/>
      <scheme val="minor"/>
    </font>
    <font>
      <b/>
      <sz val="14"/>
      <color rgb="FF272760"/>
      <name val="Calibri"/>
      <family val="2"/>
    </font>
    <font>
      <sz val="11"/>
      <color theme="1"/>
      <name val="Calibri"/>
      <family val="2"/>
    </font>
    <font>
      <b/>
      <sz val="13"/>
      <color rgb="FF272760"/>
      <name val="Calibri"/>
      <family val="2"/>
    </font>
    <font>
      <b/>
      <sz val="12"/>
      <color rgb="FFFFFFFF"/>
      <name val="Calibri"/>
      <family val="2"/>
    </font>
    <font>
      <sz val="11"/>
      <color rgb="FF000000"/>
      <name val="Calibri"/>
      <family val="2"/>
    </font>
  </fonts>
  <fills count="4">
    <fill>
      <patternFill patternType="none"/>
    </fill>
    <fill>
      <patternFill patternType="gray125"/>
    </fill>
    <fill>
      <patternFill patternType="solid">
        <fgColor rgb="FFD9E1F2"/>
        <bgColor indexed="64"/>
      </patternFill>
    </fill>
    <fill>
      <patternFill patternType="solid">
        <fgColor rgb="FF272760"/>
        <bgColor indexed="64"/>
      </patternFill>
    </fill>
  </fills>
  <borders count="3">
    <border>
      <left/>
      <right/>
      <top/>
      <bottom/>
      <diagonal/>
    </border>
    <border>
      <left/>
      <right/>
      <top/>
      <bottom style="medium">
        <color rgb="FF272760"/>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2" fillId="2" borderId="1" xfId="0" applyFont="1" applyFill="1" applyBorder="1" applyAlignment="1">
      <alignment horizontal="centerContinuous" vertical="center"/>
    </xf>
    <xf numFmtId="0" fontId="3" fillId="0" borderId="0" xfId="0" applyFont="1"/>
    <xf numFmtId="0" fontId="4" fillId="2" borderId="1" xfId="0" applyFont="1" applyFill="1" applyBorder="1" applyAlignment="1">
      <alignment horizontal="centerContinuous" vertical="center"/>
    </xf>
    <xf numFmtId="0" fontId="5" fillId="3" borderId="2" xfId="0" applyFont="1" applyFill="1" applyBorder="1" applyAlignment="1">
      <alignment horizontal="center" vertical="center"/>
    </xf>
    <xf numFmtId="0" fontId="6" fillId="0" borderId="2" xfId="0" applyFont="1" applyBorder="1" applyAlignment="1">
      <alignment vertical="center"/>
    </xf>
    <xf numFmtId="14" fontId="6" fillId="0" borderId="2" xfId="0" applyNumberFormat="1" applyFont="1" applyBorder="1" applyAlignment="1">
      <alignment vertical="center"/>
    </xf>
    <xf numFmtId="9" fontId="6" fillId="0" borderId="2" xfId="1" applyFont="1" applyBorder="1" applyAlignment="1">
      <alignment vertical="center"/>
    </xf>
    <xf numFmtId="0" fontId="0" fillId="0" borderId="0" xfId="0" pivotButton="1"/>
    <xf numFmtId="0" fontId="0" fillId="0" borderId="0" xfId="0" applyAlignment="1">
      <alignment horizontal="left"/>
    </xf>
    <xf numFmtId="0"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[Project-Management-Sample-Data.xlsx]pivot_data!PivotTable3</c:name>
    <c:fmtId val="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Tasks by Status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tint val="65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hade val="65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tint val="65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hade val="65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tint val="65000"/>
            </a:schemeClr>
          </a:solidFill>
          <a:ln w="19050">
            <a:solidFill>
              <a:schemeClr val="lt1"/>
            </a:solidFill>
          </a:ln>
          <a:effectLst/>
        </c:spPr>
      </c:pivotFmt>
    </c:pivotFmts>
    <c:plotArea>
      <c:layout>
        <c:manualLayout>
          <c:layoutTarget val="inner"/>
          <c:xMode val="edge"/>
          <c:yMode val="edge"/>
          <c:x val="0.15840349127615633"/>
          <c:y val="0.19798351993197416"/>
          <c:w val="0.43331217935263855"/>
          <c:h val="0.78487504977088529"/>
        </c:manualLayout>
      </c:layout>
      <c:doughnutChart>
        <c:varyColors val="1"/>
        <c:ser>
          <c:idx val="0"/>
          <c:order val="0"/>
          <c:tx>
            <c:strRef>
              <c:f>pivot_data!$B$3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0CEA-4503-A618-2E5EA7527391}"/>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0CEA-4503-A618-2E5EA7527391}"/>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0CEA-4503-A618-2E5EA7527391}"/>
              </c:ext>
            </c:extLst>
          </c:dPt>
          <c:cat>
            <c:strRef>
              <c:f>pivot_data!$A$4:$A$6</c:f>
              <c:strCache>
                <c:ptCount val="3"/>
                <c:pt idx="0">
                  <c:v>Completed</c:v>
                </c:pt>
                <c:pt idx="1">
                  <c:v>In Progress</c:v>
                </c:pt>
                <c:pt idx="2">
                  <c:v>Not Started</c:v>
                </c:pt>
              </c:strCache>
            </c:strRef>
          </c:cat>
          <c:val>
            <c:numRef>
              <c:f>pivot_data!$B$4:$B$6</c:f>
              <c:numCache>
                <c:formatCode>General</c:formatCode>
                <c:ptCount val="3"/>
                <c:pt idx="0">
                  <c:v>9</c:v>
                </c:pt>
                <c:pt idx="1">
                  <c:v>15</c:v>
                </c:pt>
                <c:pt idx="2">
                  <c:v>22</c:v>
                </c:pt>
              </c:numCache>
            </c:numRef>
          </c:val>
          <c:extLst>
            <c:ext xmlns:c16="http://schemas.microsoft.com/office/drawing/2014/chart" uri="{C3380CC4-5D6E-409C-BE32-E72D297353CC}">
              <c16:uniqueId val="{00000007-A0AD-47E4-867C-B693BEDD28D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1892964234171588"/>
          <c:y val="0.41170096782092097"/>
          <c:w val="0.20801578674532242"/>
          <c:h val="0.3110986182606339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[Project-Management-Sample-Data.xlsx]pivot_data!PivotTable4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Tasks</a:t>
            </a:r>
            <a:r>
              <a:rPr lang="en-US" b="1" baseline="0"/>
              <a:t> by Project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783178300317248E-2"/>
          <c:y val="0.1924254215304799"/>
          <c:w val="0.87235311154967909"/>
          <c:h val="0.44102209013756549"/>
        </c:manualLayout>
      </c:layout>
      <c:bar3DChart>
        <c:barDir val="col"/>
        <c:grouping val="clustered"/>
        <c:varyColors val="0"/>
        <c:ser>
          <c:idx val="0"/>
          <c:order val="0"/>
          <c:tx>
            <c:strRef>
              <c:f>pivot_data!$B$13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pivot_data!$A$14:$A$28</c:f>
              <c:strCache>
                <c:ptCount val="15"/>
                <c:pt idx="0">
                  <c:v>Consulting</c:v>
                </c:pt>
                <c:pt idx="1">
                  <c:v>Customer Svc</c:v>
                </c:pt>
                <c:pt idx="2">
                  <c:v>Development</c:v>
                </c:pt>
                <c:pt idx="3">
                  <c:v>Engineering</c:v>
                </c:pt>
                <c:pt idx="4">
                  <c:v>Events</c:v>
                </c:pt>
                <c:pt idx="5">
                  <c:v>Financial</c:v>
                </c:pt>
                <c:pt idx="6">
                  <c:v>Logistics</c:v>
                </c:pt>
                <c:pt idx="7">
                  <c:v>Marketing</c:v>
                </c:pt>
                <c:pt idx="8">
                  <c:v>Operations</c:v>
                </c:pt>
                <c:pt idx="9">
                  <c:v>Product Dev</c:v>
                </c:pt>
                <c:pt idx="10">
                  <c:v>Production</c:v>
                </c:pt>
                <c:pt idx="11">
                  <c:v>Research</c:v>
                </c:pt>
                <c:pt idx="12">
                  <c:v>Sales</c:v>
                </c:pt>
                <c:pt idx="13">
                  <c:v>Support</c:v>
                </c:pt>
                <c:pt idx="14">
                  <c:v>Training</c:v>
                </c:pt>
              </c:strCache>
            </c:strRef>
          </c:cat>
          <c:val>
            <c:numRef>
              <c:f>pivot_data!$B$14:$B$28</c:f>
              <c:numCache>
                <c:formatCode>General</c:formatCode>
                <c:ptCount val="15"/>
                <c:pt idx="0">
                  <c:v>3</c:v>
                </c:pt>
                <c:pt idx="1">
                  <c:v>3</c:v>
                </c:pt>
                <c:pt idx="2">
                  <c:v>3</c:v>
                </c:pt>
                <c:pt idx="3">
                  <c:v>3</c:v>
                </c:pt>
                <c:pt idx="4">
                  <c:v>3</c:v>
                </c:pt>
                <c:pt idx="5">
                  <c:v>3</c:v>
                </c:pt>
                <c:pt idx="6">
                  <c:v>3</c:v>
                </c:pt>
                <c:pt idx="7">
                  <c:v>4</c:v>
                </c:pt>
                <c:pt idx="8">
                  <c:v>3</c:v>
                </c:pt>
                <c:pt idx="9">
                  <c:v>3</c:v>
                </c:pt>
                <c:pt idx="10">
                  <c:v>3</c:v>
                </c:pt>
                <c:pt idx="11">
                  <c:v>3</c:v>
                </c:pt>
                <c:pt idx="12">
                  <c:v>3</c:v>
                </c:pt>
                <c:pt idx="13">
                  <c:v>3</c:v>
                </c:pt>
                <c:pt idx="14">
                  <c:v>3</c:v>
                </c:pt>
              </c:numCache>
            </c:numRef>
          </c:val>
          <c:extLst>
            <c:ext xmlns:c16="http://schemas.microsoft.com/office/drawing/2014/chart" uri="{C3380CC4-5D6E-409C-BE32-E72D297353CC}">
              <c16:uniqueId val="{00000001-19E9-41A5-8CF7-A309ECB7E3AD}"/>
            </c:ext>
          </c:extLst>
        </c:ser>
        <c:dLbls>
          <c:showLegendKey val="0"/>
          <c:showVal val="1"/>
          <c:showCatName val="0"/>
          <c:showSerName val="0"/>
          <c:showPercent val="0"/>
          <c:showBubbleSize val="0"/>
        </c:dLbls>
        <c:gapWidth val="150"/>
        <c:shape val="box"/>
        <c:axId val="505761199"/>
        <c:axId val="505762447"/>
        <c:axId val="0"/>
      </c:bar3DChart>
      <c:catAx>
        <c:axId val="505761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762447"/>
        <c:crosses val="autoZero"/>
        <c:auto val="1"/>
        <c:lblAlgn val="ctr"/>
        <c:lblOffset val="100"/>
        <c:noMultiLvlLbl val="0"/>
      </c:catAx>
      <c:valAx>
        <c:axId val="505762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761199"/>
        <c:crosses val="autoZero"/>
        <c:crossBetween val="between"/>
      </c:valAx>
      <c:spPr>
        <a:noFill/>
        <a:ln>
          <a:noFill/>
        </a:ln>
        <a:effectLst/>
      </c:spPr>
    </c:plotArea>
    <c:legend>
      <c:legendPos val="r"/>
      <c:layout>
        <c:manualLayout>
          <c:xMode val="edge"/>
          <c:yMode val="edge"/>
          <c:x val="0.84237581080807999"/>
          <c:y val="2.8096857542612652E-2"/>
          <c:w val="0.11514185102397351"/>
          <c:h val="9.5481645965345849E-2"/>
        </c:manualLayout>
      </c:layout>
      <c:overlay val="0"/>
      <c:spPr>
        <a:noFill/>
        <a:ln>
          <a:noFill/>
        </a:ln>
        <a:effectLst/>
      </c:spPr>
      <c:txPr>
        <a:bodyPr rot="0" spcFirstLastPara="1" vertOverflow="ellipsis" vert="horz" wrap="square" anchor="ctr" anchorCtr="1"/>
        <a:lstStyle/>
        <a:p>
          <a:pPr>
            <a:defRPr sz="9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[Project-Management-Sample-Data.xlsx]pivot_data!PivotTable5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Progress by Employees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055460458747004E-2"/>
          <c:y val="0.1863819095477387"/>
          <c:w val="0.89766723724751796"/>
          <c:h val="0.60247062082063862"/>
        </c:manualLayout>
      </c:layout>
      <c:areaChart>
        <c:grouping val="standard"/>
        <c:varyColors val="0"/>
        <c:ser>
          <c:idx val="0"/>
          <c:order val="0"/>
          <c:tx>
            <c:strRef>
              <c:f>pivot_data!$B$36</c:f>
              <c:strCache>
                <c:ptCount val="1"/>
                <c:pt idx="0">
                  <c:v>Total</c:v>
                </c:pt>
              </c:strCache>
            </c:strRef>
          </c:tx>
          <c:spPr>
            <a:solidFill>
              <a:schemeClr val="accent1"/>
            </a:solidFill>
            <a:ln w="25400">
              <a:noFill/>
            </a:ln>
            <a:effectLst/>
          </c:spPr>
          <c:cat>
            <c:strRef>
              <c:f>pivot_data!$A$37:$A$78</c:f>
              <c:strCache>
                <c:ptCount val="42"/>
                <c:pt idx="0">
                  <c:v>Aaron</c:v>
                </c:pt>
                <c:pt idx="1">
                  <c:v>Alice</c:v>
                </c:pt>
                <c:pt idx="2">
                  <c:v>Bella</c:v>
                </c:pt>
                <c:pt idx="3">
                  <c:v>Bob</c:v>
                </c:pt>
                <c:pt idx="4">
                  <c:v>Calvin</c:v>
                </c:pt>
                <c:pt idx="5">
                  <c:v>Charlie</c:v>
                </c:pt>
                <c:pt idx="6">
                  <c:v>Daisy</c:v>
                </c:pt>
                <c:pt idx="7">
                  <c:v>Diane</c:v>
                </c:pt>
                <c:pt idx="8">
                  <c:v>Edward</c:v>
                </c:pt>
                <c:pt idx="9">
                  <c:v>Ethan</c:v>
                </c:pt>
                <c:pt idx="10">
                  <c:v>Fiona</c:v>
                </c:pt>
                <c:pt idx="11">
                  <c:v>Gabriel</c:v>
                </c:pt>
                <c:pt idx="12">
                  <c:v>Gary</c:v>
                </c:pt>
                <c:pt idx="13">
                  <c:v>Hannah</c:v>
                </c:pt>
                <c:pt idx="14">
                  <c:v>Helen</c:v>
                </c:pt>
                <c:pt idx="15">
                  <c:v>Ian</c:v>
                </c:pt>
                <c:pt idx="16">
                  <c:v>Isaac</c:v>
                </c:pt>
                <c:pt idx="17">
                  <c:v>Jane</c:v>
                </c:pt>
                <c:pt idx="18">
                  <c:v>Julia</c:v>
                </c:pt>
                <c:pt idx="19">
                  <c:v>Kevin</c:v>
                </c:pt>
                <c:pt idx="20">
                  <c:v>Kyle</c:v>
                </c:pt>
                <c:pt idx="21">
                  <c:v>Laura</c:v>
                </c:pt>
                <c:pt idx="22">
                  <c:v>Mark</c:v>
                </c:pt>
                <c:pt idx="23">
                  <c:v>Mike</c:v>
                </c:pt>
                <c:pt idx="24">
                  <c:v>n Nancy</c:v>
                </c:pt>
                <c:pt idx="25">
                  <c:v>Nathan</c:v>
                </c:pt>
                <c:pt idx="26">
                  <c:v>Olivia</c:v>
                </c:pt>
                <c:pt idx="27">
                  <c:v>Oscar</c:v>
                </c:pt>
                <c:pt idx="28">
                  <c:v>Patricia</c:v>
                </c:pt>
                <c:pt idx="29">
                  <c:v>Peter</c:v>
                </c:pt>
                <c:pt idx="30">
                  <c:v>Quentin</c:v>
                </c:pt>
                <c:pt idx="31">
                  <c:v>Quinn</c:v>
                </c:pt>
                <c:pt idx="32">
                  <c:v>Rachel</c:v>
                </c:pt>
                <c:pt idx="33">
                  <c:v>Sam</c:v>
                </c:pt>
                <c:pt idx="34">
                  <c:v>Tim</c:v>
                </c:pt>
                <c:pt idx="35">
                  <c:v>Tom</c:v>
                </c:pt>
                <c:pt idx="36">
                  <c:v>Ursula</c:v>
                </c:pt>
                <c:pt idx="37">
                  <c:v>Victor</c:v>
                </c:pt>
                <c:pt idx="38">
                  <c:v>Wendy</c:v>
                </c:pt>
                <c:pt idx="39">
                  <c:v>Xavier</c:v>
                </c:pt>
                <c:pt idx="40">
                  <c:v>Yvette</c:v>
                </c:pt>
                <c:pt idx="41">
                  <c:v>Zoe</c:v>
                </c:pt>
              </c:strCache>
            </c:strRef>
          </c:cat>
          <c:val>
            <c:numRef>
              <c:f>pivot_data!$B$37:$B$78</c:f>
              <c:numCache>
                <c:formatCode>General</c:formatCode>
                <c:ptCount val="42"/>
                <c:pt idx="0">
                  <c:v>1</c:v>
                </c:pt>
                <c:pt idx="1">
                  <c:v>0.78</c:v>
                </c:pt>
                <c:pt idx="2">
                  <c:v>0</c:v>
                </c:pt>
                <c:pt idx="3">
                  <c:v>1</c:v>
                </c:pt>
                <c:pt idx="4">
                  <c:v>0.4</c:v>
                </c:pt>
                <c:pt idx="5">
                  <c:v>0.45</c:v>
                </c:pt>
                <c:pt idx="6">
                  <c:v>0</c:v>
                </c:pt>
                <c:pt idx="7">
                  <c:v>0</c:v>
                </c:pt>
                <c:pt idx="8">
                  <c:v>0</c:v>
                </c:pt>
                <c:pt idx="9">
                  <c:v>1</c:v>
                </c:pt>
                <c:pt idx="10">
                  <c:v>0.69</c:v>
                </c:pt>
                <c:pt idx="11">
                  <c:v>0</c:v>
                </c:pt>
                <c:pt idx="12">
                  <c:v>0</c:v>
                </c:pt>
                <c:pt idx="13">
                  <c:v>1</c:v>
                </c:pt>
                <c:pt idx="14">
                  <c:v>0</c:v>
                </c:pt>
                <c:pt idx="15">
                  <c:v>1</c:v>
                </c:pt>
                <c:pt idx="16">
                  <c:v>0.8</c:v>
                </c:pt>
                <c:pt idx="17">
                  <c:v>0</c:v>
                </c:pt>
                <c:pt idx="18">
                  <c:v>0</c:v>
                </c:pt>
                <c:pt idx="19">
                  <c:v>0.1</c:v>
                </c:pt>
                <c:pt idx="20">
                  <c:v>0</c:v>
                </c:pt>
                <c:pt idx="21">
                  <c:v>0.3</c:v>
                </c:pt>
                <c:pt idx="22">
                  <c:v>0.89</c:v>
                </c:pt>
                <c:pt idx="23">
                  <c:v>0</c:v>
                </c:pt>
                <c:pt idx="24">
                  <c:v>0</c:v>
                </c:pt>
                <c:pt idx="25">
                  <c:v>0.5</c:v>
                </c:pt>
                <c:pt idx="26">
                  <c:v>0</c:v>
                </c:pt>
                <c:pt idx="27">
                  <c:v>0.5</c:v>
                </c:pt>
                <c:pt idx="28">
                  <c:v>1</c:v>
                </c:pt>
                <c:pt idx="29">
                  <c:v>0</c:v>
                </c:pt>
                <c:pt idx="30">
                  <c:v>0</c:v>
                </c:pt>
                <c:pt idx="31">
                  <c:v>1</c:v>
                </c:pt>
                <c:pt idx="32">
                  <c:v>0.1</c:v>
                </c:pt>
                <c:pt idx="33">
                  <c:v>0</c:v>
                </c:pt>
                <c:pt idx="34">
                  <c:v>0.3</c:v>
                </c:pt>
                <c:pt idx="35">
                  <c:v>0</c:v>
                </c:pt>
                <c:pt idx="36">
                  <c:v>0</c:v>
                </c:pt>
                <c:pt idx="37">
                  <c:v>0</c:v>
                </c:pt>
                <c:pt idx="38">
                  <c:v>0.7</c:v>
                </c:pt>
                <c:pt idx="39">
                  <c:v>0.78</c:v>
                </c:pt>
                <c:pt idx="40">
                  <c:v>0</c:v>
                </c:pt>
                <c:pt idx="41">
                  <c:v>1</c:v>
                </c:pt>
              </c:numCache>
            </c:numRef>
          </c:val>
          <c:extLst>
            <c:ext xmlns:c16="http://schemas.microsoft.com/office/drawing/2014/chart" uri="{C3380CC4-5D6E-409C-BE32-E72D297353CC}">
              <c16:uniqueId val="{00000001-DFA7-4C7C-8071-D0AAB6B3B0DD}"/>
            </c:ext>
          </c:extLst>
        </c:ser>
        <c:dLbls>
          <c:showLegendKey val="0"/>
          <c:showVal val="0"/>
          <c:showCatName val="0"/>
          <c:showSerName val="0"/>
          <c:showPercent val="0"/>
          <c:showBubbleSize val="0"/>
        </c:dLbls>
        <c:axId val="416614591"/>
        <c:axId val="416615423"/>
      </c:areaChart>
      <c:catAx>
        <c:axId val="4166145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615423"/>
        <c:crosses val="autoZero"/>
        <c:auto val="1"/>
        <c:lblAlgn val="ctr"/>
        <c:lblOffset val="100"/>
        <c:noMultiLvlLbl val="0"/>
      </c:catAx>
      <c:valAx>
        <c:axId val="416615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614591"/>
        <c:crosses val="autoZero"/>
        <c:crossBetween val="midCat"/>
      </c:valAx>
      <c:spPr>
        <a:noFill/>
        <a:ln>
          <a:noFill/>
        </a:ln>
        <a:effectLst/>
      </c:spPr>
    </c:plotArea>
    <c:legend>
      <c:legendPos val="r"/>
      <c:layout>
        <c:manualLayout>
          <c:xMode val="edge"/>
          <c:yMode val="edge"/>
          <c:x val="0.85824146981627292"/>
          <c:y val="4.388161278835119E-2"/>
          <c:w val="0.12191021946330999"/>
          <c:h val="9.2454969391206704E-2"/>
        </c:manualLayout>
      </c:layout>
      <c:overlay val="0"/>
      <c:spPr>
        <a:noFill/>
        <a:ln>
          <a:noFill/>
        </a:ln>
        <a:effectLst/>
      </c:spPr>
      <c:txPr>
        <a:bodyPr rot="0" spcFirstLastPara="1" vertOverflow="ellipsis" vert="horz" wrap="square" anchor="ctr" anchorCtr="1"/>
        <a:lstStyle/>
        <a:p>
          <a:pPr>
            <a:defRPr sz="950" b="1"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[Project-Management-Sample-Data.xlsx]pivot_data!PivotTable6</c:name>
    <c:fmtId val="2"/>
  </c:pivotSource>
  <c:chart>
    <c:title>
      <c:tx>
        <c:rich>
          <a:bodyPr rot="0" spcFirstLastPara="1" vertOverflow="ellipsis" vert="horz" wrap="square" anchor="ctr" anchorCtr="1"/>
          <a:lstStyle/>
          <a:p>
            <a:pPr>
              <a:defRPr sz="1400" b="1" i="0" u="none" strike="noStrike" kern="1200" cap="none" baseline="0">
                <a:solidFill>
                  <a:schemeClr val="tx1">
                    <a:lumMod val="65000"/>
                    <a:lumOff val="35000"/>
                  </a:schemeClr>
                </a:solidFill>
                <a:latin typeface="+mn-lt"/>
                <a:ea typeface="+mn-ea"/>
                <a:cs typeface="+mn-cs"/>
              </a:defRPr>
            </a:pPr>
            <a:r>
              <a:rPr lang="en-US">
                <a:solidFill>
                  <a:schemeClr val="tx1">
                    <a:lumMod val="65000"/>
                    <a:lumOff val="35000"/>
                  </a:schemeClr>
                </a:solidFill>
              </a:rPr>
              <a:t>Tasks</a:t>
            </a:r>
            <a:r>
              <a:rPr lang="en-US" baseline="0">
                <a:solidFill>
                  <a:schemeClr val="tx1">
                    <a:lumMod val="65000"/>
                    <a:lumOff val="35000"/>
                  </a:schemeClr>
                </a:solidFill>
              </a:rPr>
              <a:t> Over Time</a:t>
            </a:r>
            <a:endParaRPr lang="en-US">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tx1">
                  <a:lumMod val="65000"/>
                  <a:lumOff val="3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97572935178819E-2"/>
          <c:y val="0.21224606580829758"/>
          <c:w val="0.8728194684066467"/>
          <c:h val="0.54181519155599112"/>
        </c:manualLayout>
      </c:layout>
      <c:lineChart>
        <c:grouping val="stacked"/>
        <c:varyColors val="0"/>
        <c:ser>
          <c:idx val="0"/>
          <c:order val="0"/>
          <c:tx>
            <c:strRef>
              <c:f>pivot_data!$B$85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pivot_data!$A$86:$A$88</c:f>
              <c:strCache>
                <c:ptCount val="3"/>
                <c:pt idx="0">
                  <c:v>Jan</c:v>
                </c:pt>
                <c:pt idx="1">
                  <c:v>Feb</c:v>
                </c:pt>
                <c:pt idx="2">
                  <c:v>Mar</c:v>
                </c:pt>
              </c:strCache>
            </c:strRef>
          </c:cat>
          <c:val>
            <c:numRef>
              <c:f>pivot_data!$B$86:$B$88</c:f>
              <c:numCache>
                <c:formatCode>General</c:formatCode>
                <c:ptCount val="3"/>
                <c:pt idx="0">
                  <c:v>21</c:v>
                </c:pt>
                <c:pt idx="1">
                  <c:v>18</c:v>
                </c:pt>
                <c:pt idx="2">
                  <c:v>7</c:v>
                </c:pt>
              </c:numCache>
            </c:numRef>
          </c:val>
          <c:smooth val="0"/>
          <c:extLst>
            <c:ext xmlns:c16="http://schemas.microsoft.com/office/drawing/2014/chart" uri="{C3380CC4-5D6E-409C-BE32-E72D297353CC}">
              <c16:uniqueId val="{00000001-D5CD-4BBE-B09B-7FEFA9F6C62B}"/>
            </c:ext>
          </c:extLst>
        </c:ser>
        <c:dLbls>
          <c:showLegendKey val="0"/>
          <c:showVal val="0"/>
          <c:showCatName val="0"/>
          <c:showSerName val="0"/>
          <c:showPercent val="0"/>
          <c:showBubbleSize val="0"/>
        </c:dLbls>
        <c:marker val="1"/>
        <c:smooth val="0"/>
        <c:axId val="1181865135"/>
        <c:axId val="1181865551"/>
      </c:lineChart>
      <c:catAx>
        <c:axId val="1181865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865551"/>
        <c:crosses val="autoZero"/>
        <c:auto val="1"/>
        <c:lblAlgn val="ctr"/>
        <c:lblOffset val="100"/>
        <c:noMultiLvlLbl val="0"/>
      </c:catAx>
      <c:valAx>
        <c:axId val="1181865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865135"/>
        <c:crosses val="autoZero"/>
        <c:crossBetween val="between"/>
      </c:valAx>
      <c:spPr>
        <a:noFill/>
        <a:ln>
          <a:noFill/>
        </a:ln>
        <a:effectLst/>
      </c:spPr>
    </c:plotArea>
    <c:legend>
      <c:legendPos val="r"/>
      <c:layout>
        <c:manualLayout>
          <c:xMode val="edge"/>
          <c:yMode val="edge"/>
          <c:x val="0.77917575789023075"/>
          <c:y val="5.5608799972964758E-2"/>
          <c:w val="0.15072493202909551"/>
          <c:h val="9.62943875057646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[Project-Management-Sample-Data.xlsx]pivot_data!PivotTable3</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Tasks by Status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hade val="65000"/>
            </a:schemeClr>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pivot_data!$B$3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2D56-424B-9AA3-462A0B374233}"/>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2D56-424B-9AA3-462A0B374233}"/>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2D56-424B-9AA3-462A0B374233}"/>
              </c:ext>
            </c:extLst>
          </c:dPt>
          <c:cat>
            <c:strRef>
              <c:f>pivot_data!$A$4:$A$6</c:f>
              <c:strCache>
                <c:ptCount val="3"/>
                <c:pt idx="0">
                  <c:v>Completed</c:v>
                </c:pt>
                <c:pt idx="1">
                  <c:v>In Progress</c:v>
                </c:pt>
                <c:pt idx="2">
                  <c:v>Not Started</c:v>
                </c:pt>
              </c:strCache>
            </c:strRef>
          </c:cat>
          <c:val>
            <c:numRef>
              <c:f>pivot_data!$B$4:$B$6</c:f>
              <c:numCache>
                <c:formatCode>General</c:formatCode>
                <c:ptCount val="3"/>
                <c:pt idx="0">
                  <c:v>9</c:v>
                </c:pt>
                <c:pt idx="1">
                  <c:v>15</c:v>
                </c:pt>
                <c:pt idx="2">
                  <c:v>22</c:v>
                </c:pt>
              </c:numCache>
            </c:numRef>
          </c:val>
          <c:extLst>
            <c:ext xmlns:c16="http://schemas.microsoft.com/office/drawing/2014/chart" uri="{C3380CC4-5D6E-409C-BE32-E72D297353CC}">
              <c16:uniqueId val="{00000006-4D72-4FCA-87EE-D100CBC2582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1892964234171588"/>
          <c:y val="0.41170096782092097"/>
          <c:w val="0.23770082094215533"/>
          <c:h val="0.3444412434501018"/>
        </c:manualLayout>
      </c:layout>
      <c:overlay val="0"/>
      <c:spPr>
        <a:noFill/>
        <a:ln>
          <a:noFill/>
        </a:ln>
        <a:effectLst/>
      </c:spPr>
      <c:txPr>
        <a:bodyPr rot="0" spcFirstLastPara="1" vertOverflow="ellipsis" vert="horz" wrap="square" anchor="ctr" anchorCtr="1"/>
        <a:lstStyle/>
        <a:p>
          <a:pPr>
            <a:defRPr sz="9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[Project-Management-Sample-Data.xlsx]pivot_data!PivotTable4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Tasks</a:t>
            </a:r>
            <a:r>
              <a:rPr lang="en-US" b="1" baseline="0"/>
              <a:t> by Project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783178300317248E-2"/>
          <c:y val="0.1924254215304799"/>
          <c:w val="0.87235311154967909"/>
          <c:h val="0.44102209013756549"/>
        </c:manualLayout>
      </c:layout>
      <c:bar3DChart>
        <c:barDir val="col"/>
        <c:grouping val="clustered"/>
        <c:varyColors val="0"/>
        <c:ser>
          <c:idx val="0"/>
          <c:order val="0"/>
          <c:tx>
            <c:strRef>
              <c:f>pivot_data!$B$13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pivot_data!$A$14:$A$28</c:f>
              <c:strCache>
                <c:ptCount val="15"/>
                <c:pt idx="0">
                  <c:v>Consulting</c:v>
                </c:pt>
                <c:pt idx="1">
                  <c:v>Customer Svc</c:v>
                </c:pt>
                <c:pt idx="2">
                  <c:v>Development</c:v>
                </c:pt>
                <c:pt idx="3">
                  <c:v>Engineering</c:v>
                </c:pt>
                <c:pt idx="4">
                  <c:v>Events</c:v>
                </c:pt>
                <c:pt idx="5">
                  <c:v>Financial</c:v>
                </c:pt>
                <c:pt idx="6">
                  <c:v>Logistics</c:v>
                </c:pt>
                <c:pt idx="7">
                  <c:v>Marketing</c:v>
                </c:pt>
                <c:pt idx="8">
                  <c:v>Operations</c:v>
                </c:pt>
                <c:pt idx="9">
                  <c:v>Product Dev</c:v>
                </c:pt>
                <c:pt idx="10">
                  <c:v>Production</c:v>
                </c:pt>
                <c:pt idx="11">
                  <c:v>Research</c:v>
                </c:pt>
                <c:pt idx="12">
                  <c:v>Sales</c:v>
                </c:pt>
                <c:pt idx="13">
                  <c:v>Support</c:v>
                </c:pt>
                <c:pt idx="14">
                  <c:v>Training</c:v>
                </c:pt>
              </c:strCache>
            </c:strRef>
          </c:cat>
          <c:val>
            <c:numRef>
              <c:f>pivot_data!$B$14:$B$28</c:f>
              <c:numCache>
                <c:formatCode>General</c:formatCode>
                <c:ptCount val="15"/>
                <c:pt idx="0">
                  <c:v>3</c:v>
                </c:pt>
                <c:pt idx="1">
                  <c:v>3</c:v>
                </c:pt>
                <c:pt idx="2">
                  <c:v>3</c:v>
                </c:pt>
                <c:pt idx="3">
                  <c:v>3</c:v>
                </c:pt>
                <c:pt idx="4">
                  <c:v>3</c:v>
                </c:pt>
                <c:pt idx="5">
                  <c:v>3</c:v>
                </c:pt>
                <c:pt idx="6">
                  <c:v>3</c:v>
                </c:pt>
                <c:pt idx="7">
                  <c:v>4</c:v>
                </c:pt>
                <c:pt idx="8">
                  <c:v>3</c:v>
                </c:pt>
                <c:pt idx="9">
                  <c:v>3</c:v>
                </c:pt>
                <c:pt idx="10">
                  <c:v>3</c:v>
                </c:pt>
                <c:pt idx="11">
                  <c:v>3</c:v>
                </c:pt>
                <c:pt idx="12">
                  <c:v>3</c:v>
                </c:pt>
                <c:pt idx="13">
                  <c:v>3</c:v>
                </c:pt>
                <c:pt idx="14">
                  <c:v>3</c:v>
                </c:pt>
              </c:numCache>
            </c:numRef>
          </c:val>
          <c:extLst>
            <c:ext xmlns:c16="http://schemas.microsoft.com/office/drawing/2014/chart" uri="{C3380CC4-5D6E-409C-BE32-E72D297353CC}">
              <c16:uniqueId val="{00000000-1FBF-4B04-9E8D-A5A3FCFBB5A1}"/>
            </c:ext>
          </c:extLst>
        </c:ser>
        <c:dLbls>
          <c:showLegendKey val="0"/>
          <c:showVal val="1"/>
          <c:showCatName val="0"/>
          <c:showSerName val="0"/>
          <c:showPercent val="0"/>
          <c:showBubbleSize val="0"/>
        </c:dLbls>
        <c:gapWidth val="150"/>
        <c:shape val="box"/>
        <c:axId val="505761199"/>
        <c:axId val="505762447"/>
        <c:axId val="0"/>
      </c:bar3DChart>
      <c:catAx>
        <c:axId val="505761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762447"/>
        <c:crosses val="autoZero"/>
        <c:auto val="1"/>
        <c:lblAlgn val="ctr"/>
        <c:lblOffset val="100"/>
        <c:noMultiLvlLbl val="0"/>
      </c:catAx>
      <c:valAx>
        <c:axId val="505762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761199"/>
        <c:crosses val="autoZero"/>
        <c:crossBetween val="between"/>
      </c:valAx>
      <c:spPr>
        <a:noFill/>
        <a:ln>
          <a:noFill/>
        </a:ln>
        <a:effectLst/>
      </c:spPr>
    </c:plotArea>
    <c:legend>
      <c:legendPos val="r"/>
      <c:layout>
        <c:manualLayout>
          <c:xMode val="edge"/>
          <c:yMode val="edge"/>
          <c:x val="0.84237581080807999"/>
          <c:y val="2.8096857542612652E-2"/>
          <c:w val="0.13082292222266423"/>
          <c:h val="9.4894155116194714E-2"/>
        </c:manualLayout>
      </c:layout>
      <c:overlay val="0"/>
      <c:spPr>
        <a:noFill/>
        <a:ln>
          <a:noFill/>
        </a:ln>
        <a:effectLst/>
      </c:spPr>
      <c:txPr>
        <a:bodyPr rot="0" spcFirstLastPara="1" vertOverflow="ellipsis" vert="horz" wrap="square" anchor="ctr" anchorCtr="1"/>
        <a:lstStyle/>
        <a:p>
          <a:pPr>
            <a:defRPr sz="9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[Project-Management-Sample-Data.xlsx]pivot_data!PivotTable5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Progress by Employees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055460458747004E-2"/>
          <c:y val="0.1863819095477387"/>
          <c:w val="0.89766723724751796"/>
          <c:h val="0.60247062082063862"/>
        </c:manualLayout>
      </c:layout>
      <c:areaChart>
        <c:grouping val="standard"/>
        <c:varyColors val="0"/>
        <c:ser>
          <c:idx val="0"/>
          <c:order val="0"/>
          <c:tx>
            <c:strRef>
              <c:f>pivot_data!$B$36</c:f>
              <c:strCache>
                <c:ptCount val="1"/>
                <c:pt idx="0">
                  <c:v>Total</c:v>
                </c:pt>
              </c:strCache>
            </c:strRef>
          </c:tx>
          <c:spPr>
            <a:solidFill>
              <a:schemeClr val="accent1"/>
            </a:solidFill>
            <a:ln w="25400">
              <a:noFill/>
            </a:ln>
            <a:effectLst/>
          </c:spPr>
          <c:cat>
            <c:strRef>
              <c:f>pivot_data!$A$37:$A$78</c:f>
              <c:strCache>
                <c:ptCount val="42"/>
                <c:pt idx="0">
                  <c:v>Aaron</c:v>
                </c:pt>
                <c:pt idx="1">
                  <c:v>Alice</c:v>
                </c:pt>
                <c:pt idx="2">
                  <c:v>Bella</c:v>
                </c:pt>
                <c:pt idx="3">
                  <c:v>Bob</c:v>
                </c:pt>
                <c:pt idx="4">
                  <c:v>Calvin</c:v>
                </c:pt>
                <c:pt idx="5">
                  <c:v>Charlie</c:v>
                </c:pt>
                <c:pt idx="6">
                  <c:v>Daisy</c:v>
                </c:pt>
                <c:pt idx="7">
                  <c:v>Diane</c:v>
                </c:pt>
                <c:pt idx="8">
                  <c:v>Edward</c:v>
                </c:pt>
                <c:pt idx="9">
                  <c:v>Ethan</c:v>
                </c:pt>
                <c:pt idx="10">
                  <c:v>Fiona</c:v>
                </c:pt>
                <c:pt idx="11">
                  <c:v>Gabriel</c:v>
                </c:pt>
                <c:pt idx="12">
                  <c:v>Gary</c:v>
                </c:pt>
                <c:pt idx="13">
                  <c:v>Hannah</c:v>
                </c:pt>
                <c:pt idx="14">
                  <c:v>Helen</c:v>
                </c:pt>
                <c:pt idx="15">
                  <c:v>Ian</c:v>
                </c:pt>
                <c:pt idx="16">
                  <c:v>Isaac</c:v>
                </c:pt>
                <c:pt idx="17">
                  <c:v>Jane</c:v>
                </c:pt>
                <c:pt idx="18">
                  <c:v>Julia</c:v>
                </c:pt>
                <c:pt idx="19">
                  <c:v>Kevin</c:v>
                </c:pt>
                <c:pt idx="20">
                  <c:v>Kyle</c:v>
                </c:pt>
                <c:pt idx="21">
                  <c:v>Laura</c:v>
                </c:pt>
                <c:pt idx="22">
                  <c:v>Mark</c:v>
                </c:pt>
                <c:pt idx="23">
                  <c:v>Mike</c:v>
                </c:pt>
                <c:pt idx="24">
                  <c:v>n Nancy</c:v>
                </c:pt>
                <c:pt idx="25">
                  <c:v>Nathan</c:v>
                </c:pt>
                <c:pt idx="26">
                  <c:v>Olivia</c:v>
                </c:pt>
                <c:pt idx="27">
                  <c:v>Oscar</c:v>
                </c:pt>
                <c:pt idx="28">
                  <c:v>Patricia</c:v>
                </c:pt>
                <c:pt idx="29">
                  <c:v>Peter</c:v>
                </c:pt>
                <c:pt idx="30">
                  <c:v>Quentin</c:v>
                </c:pt>
                <c:pt idx="31">
                  <c:v>Quinn</c:v>
                </c:pt>
                <c:pt idx="32">
                  <c:v>Rachel</c:v>
                </c:pt>
                <c:pt idx="33">
                  <c:v>Sam</c:v>
                </c:pt>
                <c:pt idx="34">
                  <c:v>Tim</c:v>
                </c:pt>
                <c:pt idx="35">
                  <c:v>Tom</c:v>
                </c:pt>
                <c:pt idx="36">
                  <c:v>Ursula</c:v>
                </c:pt>
                <c:pt idx="37">
                  <c:v>Victor</c:v>
                </c:pt>
                <c:pt idx="38">
                  <c:v>Wendy</c:v>
                </c:pt>
                <c:pt idx="39">
                  <c:v>Xavier</c:v>
                </c:pt>
                <c:pt idx="40">
                  <c:v>Yvette</c:v>
                </c:pt>
                <c:pt idx="41">
                  <c:v>Zoe</c:v>
                </c:pt>
              </c:strCache>
            </c:strRef>
          </c:cat>
          <c:val>
            <c:numRef>
              <c:f>pivot_data!$B$37:$B$78</c:f>
              <c:numCache>
                <c:formatCode>General</c:formatCode>
                <c:ptCount val="42"/>
                <c:pt idx="0">
                  <c:v>1</c:v>
                </c:pt>
                <c:pt idx="1">
                  <c:v>0.78</c:v>
                </c:pt>
                <c:pt idx="2">
                  <c:v>0</c:v>
                </c:pt>
                <c:pt idx="3">
                  <c:v>1</c:v>
                </c:pt>
                <c:pt idx="4">
                  <c:v>0.4</c:v>
                </c:pt>
                <c:pt idx="5">
                  <c:v>0.45</c:v>
                </c:pt>
                <c:pt idx="6">
                  <c:v>0</c:v>
                </c:pt>
                <c:pt idx="7">
                  <c:v>0</c:v>
                </c:pt>
                <c:pt idx="8">
                  <c:v>0</c:v>
                </c:pt>
                <c:pt idx="9">
                  <c:v>1</c:v>
                </c:pt>
                <c:pt idx="10">
                  <c:v>0.69</c:v>
                </c:pt>
                <c:pt idx="11">
                  <c:v>0</c:v>
                </c:pt>
                <c:pt idx="12">
                  <c:v>0</c:v>
                </c:pt>
                <c:pt idx="13">
                  <c:v>1</c:v>
                </c:pt>
                <c:pt idx="14">
                  <c:v>0</c:v>
                </c:pt>
                <c:pt idx="15">
                  <c:v>1</c:v>
                </c:pt>
                <c:pt idx="16">
                  <c:v>0.8</c:v>
                </c:pt>
                <c:pt idx="17">
                  <c:v>0</c:v>
                </c:pt>
                <c:pt idx="18">
                  <c:v>0</c:v>
                </c:pt>
                <c:pt idx="19">
                  <c:v>0.1</c:v>
                </c:pt>
                <c:pt idx="20">
                  <c:v>0</c:v>
                </c:pt>
                <c:pt idx="21">
                  <c:v>0.3</c:v>
                </c:pt>
                <c:pt idx="22">
                  <c:v>0.89</c:v>
                </c:pt>
                <c:pt idx="23">
                  <c:v>0</c:v>
                </c:pt>
                <c:pt idx="24">
                  <c:v>0</c:v>
                </c:pt>
                <c:pt idx="25">
                  <c:v>0.5</c:v>
                </c:pt>
                <c:pt idx="26">
                  <c:v>0</c:v>
                </c:pt>
                <c:pt idx="27">
                  <c:v>0.5</c:v>
                </c:pt>
                <c:pt idx="28">
                  <c:v>1</c:v>
                </c:pt>
                <c:pt idx="29">
                  <c:v>0</c:v>
                </c:pt>
                <c:pt idx="30">
                  <c:v>0</c:v>
                </c:pt>
                <c:pt idx="31">
                  <c:v>1</c:v>
                </c:pt>
                <c:pt idx="32">
                  <c:v>0.1</c:v>
                </c:pt>
                <c:pt idx="33">
                  <c:v>0</c:v>
                </c:pt>
                <c:pt idx="34">
                  <c:v>0.3</c:v>
                </c:pt>
                <c:pt idx="35">
                  <c:v>0</c:v>
                </c:pt>
                <c:pt idx="36">
                  <c:v>0</c:v>
                </c:pt>
                <c:pt idx="37">
                  <c:v>0</c:v>
                </c:pt>
                <c:pt idx="38">
                  <c:v>0.7</c:v>
                </c:pt>
                <c:pt idx="39">
                  <c:v>0.78</c:v>
                </c:pt>
                <c:pt idx="40">
                  <c:v>0</c:v>
                </c:pt>
                <c:pt idx="41">
                  <c:v>1</c:v>
                </c:pt>
              </c:numCache>
            </c:numRef>
          </c:val>
          <c:extLst>
            <c:ext xmlns:c16="http://schemas.microsoft.com/office/drawing/2014/chart" uri="{C3380CC4-5D6E-409C-BE32-E72D297353CC}">
              <c16:uniqueId val="{00000000-9A6F-45CA-9C7A-3CA2C2187207}"/>
            </c:ext>
          </c:extLst>
        </c:ser>
        <c:dLbls>
          <c:showLegendKey val="0"/>
          <c:showVal val="0"/>
          <c:showCatName val="0"/>
          <c:showSerName val="0"/>
          <c:showPercent val="0"/>
          <c:showBubbleSize val="0"/>
        </c:dLbls>
        <c:axId val="416614591"/>
        <c:axId val="416615423"/>
      </c:areaChart>
      <c:catAx>
        <c:axId val="4166145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615423"/>
        <c:crosses val="autoZero"/>
        <c:auto val="1"/>
        <c:lblAlgn val="ctr"/>
        <c:lblOffset val="100"/>
        <c:noMultiLvlLbl val="0"/>
      </c:catAx>
      <c:valAx>
        <c:axId val="416615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614591"/>
        <c:crosses val="autoZero"/>
        <c:crossBetween val="midCat"/>
      </c:valAx>
      <c:spPr>
        <a:noFill/>
        <a:ln>
          <a:noFill/>
        </a:ln>
        <a:effectLst/>
      </c:spPr>
    </c:plotArea>
    <c:legend>
      <c:legendPos val="r"/>
      <c:layout>
        <c:manualLayout>
          <c:xMode val="edge"/>
          <c:yMode val="edge"/>
          <c:x val="0.85824146981627292"/>
          <c:y val="4.388161278835119E-2"/>
          <c:w val="0.11091092671102028"/>
          <c:h val="9.1925557090897544E-2"/>
        </c:manualLayout>
      </c:layout>
      <c:overlay val="0"/>
      <c:spPr>
        <a:noFill/>
        <a:ln>
          <a:noFill/>
        </a:ln>
        <a:effectLst/>
      </c:spPr>
      <c:txPr>
        <a:bodyPr rot="0" spcFirstLastPara="1" vertOverflow="ellipsis" vert="horz" wrap="square" anchor="ctr" anchorCtr="1"/>
        <a:lstStyle/>
        <a:p>
          <a:pPr>
            <a:defRPr sz="950" b="1"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[Project-Management-Sample-Data.xlsx]pivot_data!PivotTable6</c:name>
    <c:fmtId val="0"/>
  </c:pivotSource>
  <c:chart>
    <c:title>
      <c:tx>
        <c:rich>
          <a:bodyPr rot="0" spcFirstLastPara="1" vertOverflow="ellipsis" vert="horz" wrap="square" anchor="ctr" anchorCtr="1"/>
          <a:lstStyle/>
          <a:p>
            <a:pPr>
              <a:defRPr sz="1400" b="1" i="0" u="none" strike="noStrike" kern="1200" cap="none" baseline="0">
                <a:solidFill>
                  <a:schemeClr val="tx1">
                    <a:lumMod val="65000"/>
                    <a:lumOff val="35000"/>
                  </a:schemeClr>
                </a:solidFill>
                <a:latin typeface="+mn-lt"/>
                <a:ea typeface="+mn-ea"/>
                <a:cs typeface="+mn-cs"/>
              </a:defRPr>
            </a:pPr>
            <a:r>
              <a:rPr lang="en-US">
                <a:solidFill>
                  <a:schemeClr val="tx1">
                    <a:lumMod val="65000"/>
                    <a:lumOff val="35000"/>
                  </a:schemeClr>
                </a:solidFill>
              </a:rPr>
              <a:t>Tasks</a:t>
            </a:r>
            <a:r>
              <a:rPr lang="en-US" baseline="0">
                <a:solidFill>
                  <a:schemeClr val="tx1">
                    <a:lumMod val="65000"/>
                    <a:lumOff val="35000"/>
                  </a:schemeClr>
                </a:solidFill>
              </a:rPr>
              <a:t> Over Time</a:t>
            </a:r>
            <a:endParaRPr lang="en-US">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97572935178819E-2"/>
          <c:y val="0.21224606580829758"/>
          <c:w val="0.8728194684066467"/>
          <c:h val="0.54181519155599112"/>
        </c:manualLayout>
      </c:layout>
      <c:lineChart>
        <c:grouping val="stacked"/>
        <c:varyColors val="0"/>
        <c:ser>
          <c:idx val="0"/>
          <c:order val="0"/>
          <c:tx>
            <c:strRef>
              <c:f>pivot_data!$B$85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pivot_data!$A$86:$A$88</c:f>
              <c:strCache>
                <c:ptCount val="3"/>
                <c:pt idx="0">
                  <c:v>Jan</c:v>
                </c:pt>
                <c:pt idx="1">
                  <c:v>Feb</c:v>
                </c:pt>
                <c:pt idx="2">
                  <c:v>Mar</c:v>
                </c:pt>
              </c:strCache>
            </c:strRef>
          </c:cat>
          <c:val>
            <c:numRef>
              <c:f>pivot_data!$B$86:$B$88</c:f>
              <c:numCache>
                <c:formatCode>General</c:formatCode>
                <c:ptCount val="3"/>
                <c:pt idx="0">
                  <c:v>21</c:v>
                </c:pt>
                <c:pt idx="1">
                  <c:v>18</c:v>
                </c:pt>
                <c:pt idx="2">
                  <c:v>7</c:v>
                </c:pt>
              </c:numCache>
            </c:numRef>
          </c:val>
          <c:smooth val="0"/>
          <c:extLst>
            <c:ext xmlns:c16="http://schemas.microsoft.com/office/drawing/2014/chart" uri="{C3380CC4-5D6E-409C-BE32-E72D297353CC}">
              <c16:uniqueId val="{00000000-1FA3-449E-894E-D4B250F52878}"/>
            </c:ext>
          </c:extLst>
        </c:ser>
        <c:dLbls>
          <c:showLegendKey val="0"/>
          <c:showVal val="0"/>
          <c:showCatName val="0"/>
          <c:showSerName val="0"/>
          <c:showPercent val="0"/>
          <c:showBubbleSize val="0"/>
        </c:dLbls>
        <c:marker val="1"/>
        <c:smooth val="0"/>
        <c:axId val="1181865135"/>
        <c:axId val="1181865551"/>
      </c:lineChart>
      <c:catAx>
        <c:axId val="1181865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865551"/>
        <c:crosses val="autoZero"/>
        <c:auto val="1"/>
        <c:lblAlgn val="ctr"/>
        <c:lblOffset val="100"/>
        <c:noMultiLvlLbl val="0"/>
      </c:catAx>
      <c:valAx>
        <c:axId val="1181865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865135"/>
        <c:crosses val="autoZero"/>
        <c:crossBetween val="between"/>
      </c:valAx>
      <c:spPr>
        <a:noFill/>
        <a:ln>
          <a:noFill/>
        </a:ln>
        <a:effectLst/>
      </c:spPr>
    </c:plotArea>
    <c:legend>
      <c:legendPos val="r"/>
      <c:layout>
        <c:manualLayout>
          <c:xMode val="edge"/>
          <c:yMode val="edge"/>
          <c:x val="0.77917575789023075"/>
          <c:y val="5.5608799972964758E-2"/>
          <c:w val="0.17098053511421379"/>
          <c:h val="0.104677240390189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32151</xdr:colOff>
      <xdr:row>35</xdr:row>
      <xdr:rowOff>74309</xdr:rowOff>
    </xdr:to>
    <xdr:sp macro="" textlink="">
      <xdr:nvSpPr>
        <xdr:cNvPr id="3" name="Rectangle 2">
          <a:extLst>
            <a:ext uri="{FF2B5EF4-FFF2-40B4-BE49-F238E27FC236}">
              <a16:creationId xmlns:a16="http://schemas.microsoft.com/office/drawing/2014/main" id="{41A116EA-A88A-4878-BFCC-8610C138843B}"/>
            </a:ext>
          </a:extLst>
        </xdr:cNvPr>
        <xdr:cNvSpPr/>
      </xdr:nvSpPr>
      <xdr:spPr>
        <a:xfrm>
          <a:off x="0" y="0"/>
          <a:ext cx="10624491" cy="6221649"/>
        </a:xfrm>
        <a:prstGeom prst="rect">
          <a:avLst/>
        </a:prstGeom>
        <a:gradFill flip="none" rotWithShape="1">
          <a:gsLst>
            <a:gs pos="3500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507724</xdr:colOff>
      <xdr:row>0</xdr:row>
      <xdr:rowOff>0</xdr:rowOff>
    </xdr:from>
    <xdr:to>
      <xdr:col>10</xdr:col>
      <xdr:colOff>380724</xdr:colOff>
      <xdr:row>1</xdr:row>
      <xdr:rowOff>172469</xdr:rowOff>
    </xdr:to>
    <xdr:sp macro="" textlink="">
      <xdr:nvSpPr>
        <xdr:cNvPr id="4" name="Rectangle: Rounded Corners 3">
          <a:extLst>
            <a:ext uri="{FF2B5EF4-FFF2-40B4-BE49-F238E27FC236}">
              <a16:creationId xmlns:a16="http://schemas.microsoft.com/office/drawing/2014/main" id="{BABD0DC4-5C86-46AB-A116-24154126CEDF}"/>
            </a:ext>
          </a:extLst>
        </xdr:cNvPr>
        <xdr:cNvSpPr/>
      </xdr:nvSpPr>
      <xdr:spPr>
        <a:xfrm>
          <a:off x="3141798" y="0"/>
          <a:ext cx="3824111" cy="35277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lumMod val="65000"/>
                  <a:lumOff val="35000"/>
                </a:schemeClr>
              </a:solidFill>
            </a:rPr>
            <a:t>                 </a:t>
          </a:r>
          <a:r>
            <a:rPr lang="en-IN" sz="1800" b="1">
              <a:solidFill>
                <a:schemeClr val="tx1">
                  <a:lumMod val="65000"/>
                  <a:lumOff val="35000"/>
                </a:schemeClr>
              </a:solidFill>
            </a:rPr>
            <a:t>Project Progress Overview</a:t>
          </a:r>
          <a:endParaRPr lang="en-IN" sz="1600" b="1">
            <a:solidFill>
              <a:schemeClr val="tx1">
                <a:lumMod val="65000"/>
                <a:lumOff val="35000"/>
              </a:schemeClr>
            </a:solidFill>
          </a:endParaRPr>
        </a:p>
      </xdr:txBody>
    </xdr:sp>
    <xdr:clientData/>
  </xdr:twoCellAnchor>
  <xdr:twoCellAnchor>
    <xdr:from>
      <xdr:col>0</xdr:col>
      <xdr:colOff>323282</xdr:colOff>
      <xdr:row>1</xdr:row>
      <xdr:rowOff>159066</xdr:rowOff>
    </xdr:from>
    <xdr:to>
      <xdr:col>3</xdr:col>
      <xdr:colOff>495140</xdr:colOff>
      <xdr:row>6</xdr:row>
      <xdr:rowOff>94573</xdr:rowOff>
    </xdr:to>
    <xdr:sp macro="" textlink="">
      <xdr:nvSpPr>
        <xdr:cNvPr id="5" name="Rectangle: Rounded Corners 4">
          <a:extLst>
            <a:ext uri="{FF2B5EF4-FFF2-40B4-BE49-F238E27FC236}">
              <a16:creationId xmlns:a16="http://schemas.microsoft.com/office/drawing/2014/main" id="{81A25498-2C3C-4AAE-8E66-BBCD12B67620}"/>
            </a:ext>
          </a:extLst>
        </xdr:cNvPr>
        <xdr:cNvSpPr/>
      </xdr:nvSpPr>
      <xdr:spPr>
        <a:xfrm>
          <a:off x="323282" y="338783"/>
          <a:ext cx="2148745" cy="834092"/>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b="1">
              <a:solidFill>
                <a:sysClr val="windowText" lastClr="000000"/>
              </a:solidFill>
            </a:rPr>
            <a:t>Total</a:t>
          </a:r>
          <a:r>
            <a:rPr lang="en-IN" sz="1050" b="1" baseline="0">
              <a:solidFill>
                <a:sysClr val="windowText" lastClr="000000"/>
              </a:solidFill>
            </a:rPr>
            <a:t> Tasks</a:t>
          </a:r>
          <a:endParaRPr lang="en-IN" sz="1100" b="1">
            <a:solidFill>
              <a:sysClr val="windowText" lastClr="000000"/>
            </a:solidFill>
          </a:endParaRPr>
        </a:p>
      </xdr:txBody>
    </xdr:sp>
    <xdr:clientData/>
  </xdr:twoCellAnchor>
  <xdr:twoCellAnchor>
    <xdr:from>
      <xdr:col>4</xdr:col>
      <xdr:colOff>400558</xdr:colOff>
      <xdr:row>1</xdr:row>
      <xdr:rowOff>167104</xdr:rowOff>
    </xdr:from>
    <xdr:to>
      <xdr:col>7</xdr:col>
      <xdr:colOff>572417</xdr:colOff>
      <xdr:row>6</xdr:row>
      <xdr:rowOff>102512</xdr:rowOff>
    </xdr:to>
    <xdr:sp macro="" textlink="">
      <xdr:nvSpPr>
        <xdr:cNvPr id="6" name="Rectangle: Rounded Corners 5">
          <a:extLst>
            <a:ext uri="{FF2B5EF4-FFF2-40B4-BE49-F238E27FC236}">
              <a16:creationId xmlns:a16="http://schemas.microsoft.com/office/drawing/2014/main" id="{A68D82A8-AA67-4B95-B9FC-432C80351CE7}"/>
            </a:ext>
          </a:extLst>
        </xdr:cNvPr>
        <xdr:cNvSpPr/>
      </xdr:nvSpPr>
      <xdr:spPr>
        <a:xfrm>
          <a:off x="3048643" y="342742"/>
          <a:ext cx="2157923" cy="8136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b="1">
              <a:solidFill>
                <a:sysClr val="windowText" lastClr="000000"/>
              </a:solidFill>
            </a:rPr>
            <a:t>Completed</a:t>
          </a:r>
        </a:p>
      </xdr:txBody>
    </xdr:sp>
    <xdr:clientData/>
  </xdr:twoCellAnchor>
  <xdr:twoCellAnchor>
    <xdr:from>
      <xdr:col>8</xdr:col>
      <xdr:colOff>399431</xdr:colOff>
      <xdr:row>1</xdr:row>
      <xdr:rowOff>172674</xdr:rowOff>
    </xdr:from>
    <xdr:to>
      <xdr:col>11</xdr:col>
      <xdr:colOff>571289</xdr:colOff>
      <xdr:row>6</xdr:row>
      <xdr:rowOff>108082</xdr:rowOff>
    </xdr:to>
    <xdr:sp macro="" textlink="">
      <xdr:nvSpPr>
        <xdr:cNvPr id="7" name="Rectangle: Rounded Corners 6">
          <a:extLst>
            <a:ext uri="{FF2B5EF4-FFF2-40B4-BE49-F238E27FC236}">
              <a16:creationId xmlns:a16="http://schemas.microsoft.com/office/drawing/2014/main" id="{D0398098-4C40-4C11-BBB6-C9618F2ECF93}"/>
            </a:ext>
          </a:extLst>
        </xdr:cNvPr>
        <xdr:cNvSpPr/>
      </xdr:nvSpPr>
      <xdr:spPr>
        <a:xfrm>
          <a:off x="5695601" y="348312"/>
          <a:ext cx="2157922" cy="8136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b="1">
              <a:solidFill>
                <a:sysClr val="windowText" lastClr="000000"/>
              </a:solidFill>
            </a:rPr>
            <a:t>In Progress</a:t>
          </a:r>
        </a:p>
      </xdr:txBody>
    </xdr:sp>
    <xdr:clientData/>
  </xdr:twoCellAnchor>
  <xdr:twoCellAnchor>
    <xdr:from>
      <xdr:col>12</xdr:col>
      <xdr:colOff>278157</xdr:colOff>
      <xdr:row>1</xdr:row>
      <xdr:rowOff>142992</xdr:rowOff>
    </xdr:from>
    <xdr:to>
      <xdr:col>15</xdr:col>
      <xdr:colOff>450127</xdr:colOff>
      <xdr:row>6</xdr:row>
      <xdr:rowOff>78400</xdr:rowOff>
    </xdr:to>
    <xdr:sp macro="" textlink="">
      <xdr:nvSpPr>
        <xdr:cNvPr id="8" name="Rectangle: Rounded Corners 7">
          <a:extLst>
            <a:ext uri="{FF2B5EF4-FFF2-40B4-BE49-F238E27FC236}">
              <a16:creationId xmlns:a16="http://schemas.microsoft.com/office/drawing/2014/main" id="{AF2FCD5B-EE48-4C39-B799-43E8816C6D47}"/>
            </a:ext>
          </a:extLst>
        </xdr:cNvPr>
        <xdr:cNvSpPr/>
      </xdr:nvSpPr>
      <xdr:spPr>
        <a:xfrm>
          <a:off x="8222412" y="318630"/>
          <a:ext cx="2158034" cy="8136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b="1">
              <a:solidFill>
                <a:sysClr val="windowText" lastClr="000000"/>
              </a:solidFill>
            </a:rPr>
            <a:t>Avg Progress</a:t>
          </a:r>
        </a:p>
      </xdr:txBody>
    </xdr:sp>
    <xdr:clientData/>
  </xdr:twoCellAnchor>
  <xdr:twoCellAnchor>
    <xdr:from>
      <xdr:col>0</xdr:col>
      <xdr:colOff>13511</xdr:colOff>
      <xdr:row>7</xdr:row>
      <xdr:rowOff>60797</xdr:rowOff>
    </xdr:from>
    <xdr:to>
      <xdr:col>6</xdr:col>
      <xdr:colOff>53700</xdr:colOff>
      <xdr:row>19</xdr:row>
      <xdr:rowOff>173328</xdr:rowOff>
    </xdr:to>
    <xdr:graphicFrame macro="">
      <xdr:nvGraphicFramePr>
        <xdr:cNvPr id="9" name="Chart 8">
          <a:extLst>
            <a:ext uri="{FF2B5EF4-FFF2-40B4-BE49-F238E27FC236}">
              <a16:creationId xmlns:a16="http://schemas.microsoft.com/office/drawing/2014/main" id="{7A941525-CA83-4734-98B2-9ECCA9D2E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143402</xdr:colOff>
      <xdr:row>7</xdr:row>
      <xdr:rowOff>92950</xdr:rowOff>
    </xdr:from>
    <xdr:to>
      <xdr:col>12</xdr:col>
      <xdr:colOff>400617</xdr:colOff>
      <xdr:row>21</xdr:row>
      <xdr:rowOff>65180</xdr:rowOff>
    </xdr:to>
    <xdr:graphicFrame macro="">
      <xdr:nvGraphicFramePr>
        <xdr:cNvPr id="10" name="Chart 9">
          <a:extLst>
            <a:ext uri="{FF2B5EF4-FFF2-40B4-BE49-F238E27FC236}">
              <a16:creationId xmlns:a16="http://schemas.microsoft.com/office/drawing/2014/main" id="{90465384-78CC-4D05-A96D-D740C64B4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106461</xdr:rowOff>
    </xdr:from>
    <xdr:to>
      <xdr:col>6</xdr:col>
      <xdr:colOff>24113</xdr:colOff>
      <xdr:row>34</xdr:row>
      <xdr:rowOff>158066</xdr:rowOff>
    </xdr:to>
    <xdr:graphicFrame macro="">
      <xdr:nvGraphicFramePr>
        <xdr:cNvPr id="11" name="Chart 10">
          <a:extLst>
            <a:ext uri="{FF2B5EF4-FFF2-40B4-BE49-F238E27FC236}">
              <a16:creationId xmlns:a16="http://schemas.microsoft.com/office/drawing/2014/main" id="{C03A0F88-D95D-42A0-BF37-6BD52E8999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121853</xdr:colOff>
      <xdr:row>21</xdr:row>
      <xdr:rowOff>128350</xdr:rowOff>
    </xdr:from>
    <xdr:to>
      <xdr:col>12</xdr:col>
      <xdr:colOff>395144</xdr:colOff>
      <xdr:row>34</xdr:row>
      <xdr:rowOff>175637</xdr:rowOff>
    </xdr:to>
    <xdr:graphicFrame macro="">
      <xdr:nvGraphicFramePr>
        <xdr:cNvPr id="12" name="Chart 11">
          <a:extLst>
            <a:ext uri="{FF2B5EF4-FFF2-40B4-BE49-F238E27FC236}">
              <a16:creationId xmlns:a16="http://schemas.microsoft.com/office/drawing/2014/main" id="{B62D2FA8-5302-4B6F-9732-1EE82C0E7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502202</xdr:colOff>
      <xdr:row>7</xdr:row>
      <xdr:rowOff>143146</xdr:rowOff>
    </xdr:from>
    <xdr:to>
      <xdr:col>15</xdr:col>
      <xdr:colOff>626951</xdr:colOff>
      <xdr:row>15</xdr:row>
      <xdr:rowOff>141863</xdr:rowOff>
    </xdr:to>
    <mc:AlternateContent xmlns:mc="http://schemas.openxmlformats.org/markup-compatibility/2006" xmlns:a14="http://schemas.microsoft.com/office/drawing/2010/main">
      <mc:Choice Requires="a14">
        <xdr:graphicFrame macro="">
          <xdr:nvGraphicFramePr>
            <xdr:cNvPr id="13" name="Project Name 1">
              <a:extLst>
                <a:ext uri="{FF2B5EF4-FFF2-40B4-BE49-F238E27FC236}">
                  <a16:creationId xmlns:a16="http://schemas.microsoft.com/office/drawing/2014/main" id="{D4260847-B63B-4B2C-B04A-FACD16DB46AA}"/>
                </a:ext>
              </a:extLst>
            </xdr:cNvPr>
            <xdr:cNvGraphicFramePr/>
          </xdr:nvGraphicFramePr>
          <xdr:xfrm>
            <a:off x="0" y="0"/>
            <a:ext cx="0" cy="0"/>
          </xdr:xfrm>
          <a:graphic>
            <a:graphicData uri="http://schemas.microsoft.com/office/drawing/2010/slicer">
              <sle:slicer xmlns:sle="http://schemas.microsoft.com/office/drawing/2010/slicer" name="Project Name 1"/>
            </a:graphicData>
          </a:graphic>
        </xdr:graphicFrame>
      </mc:Choice>
      <mc:Fallback xmlns="">
        <xdr:sp macro="" textlink="">
          <xdr:nvSpPr>
            <xdr:cNvPr id="0" name=""/>
            <xdr:cNvSpPr>
              <a:spLocks noTextEdit="1"/>
            </xdr:cNvSpPr>
          </xdr:nvSpPr>
          <xdr:spPr>
            <a:xfrm>
              <a:off x="8463396" y="1403668"/>
              <a:ext cx="2115048" cy="14393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498355</xdr:colOff>
      <xdr:row>16</xdr:row>
      <xdr:rowOff>31810</xdr:rowOff>
    </xdr:from>
    <xdr:to>
      <xdr:col>15</xdr:col>
      <xdr:colOff>623104</xdr:colOff>
      <xdr:row>27</xdr:row>
      <xdr:rowOff>63961</xdr:rowOff>
    </xdr:to>
    <mc:AlternateContent xmlns:mc="http://schemas.openxmlformats.org/markup-compatibility/2006" xmlns:a14="http://schemas.microsoft.com/office/drawing/2010/main">
      <mc:Choice Requires="a14">
        <xdr:graphicFrame macro="">
          <xdr:nvGraphicFramePr>
            <xdr:cNvPr id="14" name="Assigned to 1">
              <a:extLst>
                <a:ext uri="{FF2B5EF4-FFF2-40B4-BE49-F238E27FC236}">
                  <a16:creationId xmlns:a16="http://schemas.microsoft.com/office/drawing/2014/main" id="{7389180B-BA1B-4AAE-8740-EEFD9E843E31}"/>
                </a:ext>
              </a:extLst>
            </xdr:cNvPr>
            <xdr:cNvGraphicFramePr/>
          </xdr:nvGraphicFramePr>
          <xdr:xfrm>
            <a:off x="0" y="0"/>
            <a:ext cx="0" cy="0"/>
          </xdr:xfrm>
          <a:graphic>
            <a:graphicData uri="http://schemas.microsoft.com/office/drawing/2010/slicer">
              <sle:slicer xmlns:sle="http://schemas.microsoft.com/office/drawing/2010/slicer" name="Assigned to 1"/>
            </a:graphicData>
          </a:graphic>
        </xdr:graphicFrame>
      </mc:Choice>
      <mc:Fallback xmlns="">
        <xdr:sp macro="" textlink="">
          <xdr:nvSpPr>
            <xdr:cNvPr id="0" name=""/>
            <xdr:cNvSpPr>
              <a:spLocks noTextEdit="1"/>
            </xdr:cNvSpPr>
          </xdr:nvSpPr>
          <xdr:spPr>
            <a:xfrm>
              <a:off x="8459549" y="2913004"/>
              <a:ext cx="2115048" cy="2012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522468</xdr:colOff>
      <xdr:row>27</xdr:row>
      <xdr:rowOff>117663</xdr:rowOff>
    </xdr:from>
    <xdr:to>
      <xdr:col>15</xdr:col>
      <xdr:colOff>631141</xdr:colOff>
      <xdr:row>35</xdr:row>
      <xdr:rowOff>21209</xdr:rowOff>
    </xdr:to>
    <mc:AlternateContent xmlns:mc="http://schemas.openxmlformats.org/markup-compatibility/2006" xmlns:a14="http://schemas.microsoft.com/office/drawing/2010/main">
      <mc:Choice Requires="a14">
        <xdr:graphicFrame macro="">
          <xdr:nvGraphicFramePr>
            <xdr:cNvPr id="15" name="Status 1">
              <a:extLst>
                <a:ext uri="{FF2B5EF4-FFF2-40B4-BE49-F238E27FC236}">
                  <a16:creationId xmlns:a16="http://schemas.microsoft.com/office/drawing/2014/main" id="{A8228937-B50F-4785-AC5C-E906E1D4763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8483662" y="4979678"/>
              <a:ext cx="2098972" cy="1344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87819</xdr:colOff>
      <xdr:row>2</xdr:row>
      <xdr:rowOff>27021</xdr:rowOff>
    </xdr:from>
    <xdr:to>
      <xdr:col>1</xdr:col>
      <xdr:colOff>398563</xdr:colOff>
      <xdr:row>3</xdr:row>
      <xdr:rowOff>121596</xdr:rowOff>
    </xdr:to>
    <xdr:pic>
      <xdr:nvPicPr>
        <xdr:cNvPr id="17" name="Graphic 16" descr="Document with solid fill">
          <a:extLst>
            <a:ext uri="{FF2B5EF4-FFF2-40B4-BE49-F238E27FC236}">
              <a16:creationId xmlns:a16="http://schemas.microsoft.com/office/drawing/2014/main" id="{6B90AFDB-7793-4959-8221-08BA60330DF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49840" y="378298"/>
          <a:ext cx="310744" cy="270213"/>
        </a:xfrm>
        <a:prstGeom prst="rect">
          <a:avLst/>
        </a:prstGeom>
      </xdr:spPr>
    </xdr:pic>
    <xdr:clientData/>
  </xdr:twoCellAnchor>
  <xdr:twoCellAnchor editAs="oneCell">
    <xdr:from>
      <xdr:col>5</xdr:col>
      <xdr:colOff>202660</xdr:colOff>
      <xdr:row>1</xdr:row>
      <xdr:rowOff>168883</xdr:rowOff>
    </xdr:from>
    <xdr:to>
      <xdr:col>5</xdr:col>
      <xdr:colOff>512260</xdr:colOff>
      <xdr:row>3</xdr:row>
      <xdr:rowOff>149858</xdr:rowOff>
    </xdr:to>
    <xdr:pic>
      <xdr:nvPicPr>
        <xdr:cNvPr id="19" name="Graphic 18" descr="Checkmark with solid fill">
          <a:extLst>
            <a:ext uri="{FF2B5EF4-FFF2-40B4-BE49-F238E27FC236}">
              <a16:creationId xmlns:a16="http://schemas.microsoft.com/office/drawing/2014/main" id="{C0E466B7-3012-4DF6-A448-738DC98E61D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512766" y="344521"/>
          <a:ext cx="309600" cy="332252"/>
        </a:xfrm>
        <a:prstGeom prst="rect">
          <a:avLst/>
        </a:prstGeom>
      </xdr:spPr>
    </xdr:pic>
    <xdr:clientData/>
  </xdr:twoCellAnchor>
  <xdr:twoCellAnchor editAs="oneCell">
    <xdr:from>
      <xdr:col>9</xdr:col>
      <xdr:colOff>222926</xdr:colOff>
      <xdr:row>2</xdr:row>
      <xdr:rowOff>20266</xdr:rowOff>
    </xdr:from>
    <xdr:to>
      <xdr:col>9</xdr:col>
      <xdr:colOff>532526</xdr:colOff>
      <xdr:row>3</xdr:row>
      <xdr:rowOff>128955</xdr:rowOff>
    </xdr:to>
    <xdr:pic>
      <xdr:nvPicPr>
        <xdr:cNvPr id="21" name="Graphic 20" descr="Hourglass Finished with solid fill">
          <a:extLst>
            <a:ext uri="{FF2B5EF4-FFF2-40B4-BE49-F238E27FC236}">
              <a16:creationId xmlns:a16="http://schemas.microsoft.com/office/drawing/2014/main" id="{CE809CE1-1F65-4D44-9AB3-C7E3680153D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6181117" y="371543"/>
          <a:ext cx="309600" cy="284327"/>
        </a:xfrm>
        <a:prstGeom prst="rect">
          <a:avLst/>
        </a:prstGeom>
      </xdr:spPr>
    </xdr:pic>
    <xdr:clientData/>
  </xdr:twoCellAnchor>
  <xdr:twoCellAnchor editAs="oneCell">
    <xdr:from>
      <xdr:col>13</xdr:col>
      <xdr:colOff>6755</xdr:colOff>
      <xdr:row>2</xdr:row>
      <xdr:rowOff>6755</xdr:rowOff>
    </xdr:from>
    <xdr:to>
      <xdr:col>13</xdr:col>
      <xdr:colOff>316355</xdr:colOff>
      <xdr:row>3</xdr:row>
      <xdr:rowOff>140717</xdr:rowOff>
    </xdr:to>
    <xdr:pic>
      <xdr:nvPicPr>
        <xdr:cNvPr id="23" name="Graphic 22" descr="Bar graph with upward trend with solid fill">
          <a:extLst>
            <a:ext uri="{FF2B5EF4-FFF2-40B4-BE49-F238E27FC236}">
              <a16:creationId xmlns:a16="http://schemas.microsoft.com/office/drawing/2014/main" id="{48ADB625-7A7B-4A65-B693-50584BCCCFA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8613032" y="358032"/>
          <a:ext cx="309600" cy="309600"/>
        </a:xfrm>
        <a:prstGeom prst="rect">
          <a:avLst/>
        </a:prstGeom>
      </xdr:spPr>
    </xdr:pic>
    <xdr:clientData/>
  </xdr:twoCellAnchor>
  <xdr:twoCellAnchor>
    <xdr:from>
      <xdr:col>1</xdr:col>
      <xdr:colOff>257595</xdr:colOff>
      <xdr:row>3</xdr:row>
      <xdr:rowOff>161743</xdr:rowOff>
    </xdr:from>
    <xdr:to>
      <xdr:col>2</xdr:col>
      <xdr:colOff>491227</xdr:colOff>
      <xdr:row>5</xdr:row>
      <xdr:rowOff>162309</xdr:rowOff>
    </xdr:to>
    <xdr:sp macro="" textlink="pivot_data!A8">
      <xdr:nvSpPr>
        <xdr:cNvPr id="26" name="Rectangle 25">
          <a:extLst>
            <a:ext uri="{FF2B5EF4-FFF2-40B4-BE49-F238E27FC236}">
              <a16:creationId xmlns:a16="http://schemas.microsoft.com/office/drawing/2014/main" id="{A195B9E6-5AAA-4593-8898-96E771BD5AF7}"/>
            </a:ext>
          </a:extLst>
        </xdr:cNvPr>
        <xdr:cNvSpPr/>
      </xdr:nvSpPr>
      <xdr:spPr>
        <a:xfrm>
          <a:off x="916557" y="700894"/>
          <a:ext cx="892595" cy="3600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D0610968-D6D5-4D41-B139-EBFCB8E6E0D2}" type="TxLink">
            <a:rPr lang="en-US" sz="1800" b="1" i="0" u="none" strike="noStrike">
              <a:solidFill>
                <a:srgbClr val="000000"/>
              </a:solidFill>
              <a:latin typeface="Aptos Narrow"/>
            </a:rPr>
            <a:pPr algn="ctr"/>
            <a:t>$46.0K</a:t>
          </a:fld>
          <a:endParaRPr lang="en-US" sz="3600" b="1"/>
        </a:p>
      </xdr:txBody>
    </xdr:sp>
    <xdr:clientData/>
  </xdr:twoCellAnchor>
  <xdr:twoCellAnchor>
    <xdr:from>
      <xdr:col>5</xdr:col>
      <xdr:colOff>382841</xdr:colOff>
      <xdr:row>3</xdr:row>
      <xdr:rowOff>139063</xdr:rowOff>
    </xdr:from>
    <xdr:to>
      <xdr:col>6</xdr:col>
      <xdr:colOff>616473</xdr:colOff>
      <xdr:row>5</xdr:row>
      <xdr:rowOff>127082</xdr:rowOff>
    </xdr:to>
    <xdr:sp macro="" textlink="pivot_data!L19">
      <xdr:nvSpPr>
        <xdr:cNvPr id="27" name="Rectangle 26">
          <a:extLst>
            <a:ext uri="{FF2B5EF4-FFF2-40B4-BE49-F238E27FC236}">
              <a16:creationId xmlns:a16="http://schemas.microsoft.com/office/drawing/2014/main" id="{70B1A564-3775-46B4-8470-59632A0E291A}"/>
            </a:ext>
          </a:extLst>
        </xdr:cNvPr>
        <xdr:cNvSpPr/>
      </xdr:nvSpPr>
      <xdr:spPr>
        <a:xfrm>
          <a:off x="3677652" y="678214"/>
          <a:ext cx="892595" cy="347453"/>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BAB75238-88EB-47A7-807A-B12305727ADA}" type="TxLink">
            <a:rPr lang="en-US" sz="1800" b="1" i="0" u="none" strike="noStrike">
              <a:solidFill>
                <a:srgbClr val="000000"/>
              </a:solidFill>
              <a:latin typeface="Aptos Narrow"/>
            </a:rPr>
            <a:pPr algn="ctr"/>
            <a:t>$9.0K</a:t>
          </a:fld>
          <a:endParaRPr lang="en-IN" sz="1800" b="1"/>
        </a:p>
      </xdr:txBody>
    </xdr:sp>
    <xdr:clientData/>
  </xdr:twoCellAnchor>
  <xdr:twoCellAnchor>
    <xdr:from>
      <xdr:col>9</xdr:col>
      <xdr:colOff>393950</xdr:colOff>
      <xdr:row>3</xdr:row>
      <xdr:rowOff>156614</xdr:rowOff>
    </xdr:from>
    <xdr:to>
      <xdr:col>10</xdr:col>
      <xdr:colOff>627582</xdr:colOff>
      <xdr:row>5</xdr:row>
      <xdr:rowOff>144633</xdr:rowOff>
    </xdr:to>
    <xdr:sp macro="" textlink="pivot_data!L20">
      <xdr:nvSpPr>
        <xdr:cNvPr id="28" name="Rectangle 27">
          <a:extLst>
            <a:ext uri="{FF2B5EF4-FFF2-40B4-BE49-F238E27FC236}">
              <a16:creationId xmlns:a16="http://schemas.microsoft.com/office/drawing/2014/main" id="{1790F197-1C06-4182-969C-8E897443D5A7}"/>
            </a:ext>
          </a:extLst>
        </xdr:cNvPr>
        <xdr:cNvSpPr/>
      </xdr:nvSpPr>
      <xdr:spPr>
        <a:xfrm>
          <a:off x="6324610" y="695765"/>
          <a:ext cx="892595" cy="347453"/>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0DC010B-29AD-4752-AF7C-E1B2C7845CDE}" type="TxLink">
            <a:rPr lang="en-US" sz="1800" b="1" i="0" u="none" strike="noStrike">
              <a:solidFill>
                <a:srgbClr val="000000"/>
              </a:solidFill>
              <a:latin typeface="Aptos Narrow"/>
            </a:rPr>
            <a:pPr algn="ctr"/>
            <a:t>$15.0K</a:t>
          </a:fld>
          <a:endParaRPr lang="en-IN" sz="1800" b="1"/>
        </a:p>
      </xdr:txBody>
    </xdr:sp>
    <xdr:clientData/>
  </xdr:twoCellAnchor>
  <xdr:twoCellAnchor>
    <xdr:from>
      <xdr:col>13</xdr:col>
      <xdr:colOff>338828</xdr:colOff>
      <xdr:row>3</xdr:row>
      <xdr:rowOff>138912</xdr:rowOff>
    </xdr:from>
    <xdr:to>
      <xdr:col>14</xdr:col>
      <xdr:colOff>572460</xdr:colOff>
      <xdr:row>5</xdr:row>
      <xdr:rowOff>126931</xdr:rowOff>
    </xdr:to>
    <xdr:sp macro="" textlink="pivot_data!L21">
      <xdr:nvSpPr>
        <xdr:cNvPr id="29" name="Rectangle 28">
          <a:extLst>
            <a:ext uri="{FF2B5EF4-FFF2-40B4-BE49-F238E27FC236}">
              <a16:creationId xmlns:a16="http://schemas.microsoft.com/office/drawing/2014/main" id="{A66A405C-22D7-4969-8676-7611DDA3F4D9}"/>
            </a:ext>
          </a:extLst>
        </xdr:cNvPr>
        <xdr:cNvSpPr/>
      </xdr:nvSpPr>
      <xdr:spPr>
        <a:xfrm>
          <a:off x="8905337" y="678063"/>
          <a:ext cx="892595" cy="347453"/>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C8037E3-3106-4EBF-A2FC-6F56BCFB0A72}" type="TxLink">
            <a:rPr lang="en-US" sz="1800" b="1" i="0" u="none" strike="noStrike">
              <a:solidFill>
                <a:srgbClr val="000000"/>
              </a:solidFill>
              <a:latin typeface="Aptos Narrow"/>
            </a:rPr>
            <a:pPr algn="ctr"/>
            <a:t>$22.0K</a:t>
          </a:fld>
          <a:endParaRPr lang="en-IN" sz="18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193675</xdr:colOff>
      <xdr:row>0</xdr:row>
      <xdr:rowOff>60325</xdr:rowOff>
    </xdr:from>
    <xdr:to>
      <xdr:col>7</xdr:col>
      <xdr:colOff>234950</xdr:colOff>
      <xdr:row>11</xdr:row>
      <xdr:rowOff>44450</xdr:rowOff>
    </xdr:to>
    <xdr:graphicFrame macro="">
      <xdr:nvGraphicFramePr>
        <xdr:cNvPr id="2" name="Chart 1">
          <a:extLst>
            <a:ext uri="{FF2B5EF4-FFF2-40B4-BE49-F238E27FC236}">
              <a16:creationId xmlns:a16="http://schemas.microsoft.com/office/drawing/2014/main" id="{E5074CB6-1718-472D-90F6-E763B35565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98425</xdr:colOff>
      <xdr:row>12</xdr:row>
      <xdr:rowOff>130175</xdr:rowOff>
    </xdr:from>
    <xdr:to>
      <xdr:col>7</xdr:col>
      <xdr:colOff>508000</xdr:colOff>
      <xdr:row>26</xdr:row>
      <xdr:rowOff>88900</xdr:rowOff>
    </xdr:to>
    <xdr:graphicFrame macro="">
      <xdr:nvGraphicFramePr>
        <xdr:cNvPr id="3" name="Chart 2">
          <a:extLst>
            <a:ext uri="{FF2B5EF4-FFF2-40B4-BE49-F238E27FC236}">
              <a16:creationId xmlns:a16="http://schemas.microsoft.com/office/drawing/2014/main" id="{E9D98E4A-7134-4E25-989D-122BF41D10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622300</xdr:colOff>
      <xdr:row>34</xdr:row>
      <xdr:rowOff>165101</xdr:rowOff>
    </xdr:from>
    <xdr:to>
      <xdr:col>9</xdr:col>
      <xdr:colOff>381000</xdr:colOff>
      <xdr:row>49</xdr:row>
      <xdr:rowOff>25401</xdr:rowOff>
    </xdr:to>
    <xdr:graphicFrame macro="">
      <xdr:nvGraphicFramePr>
        <xdr:cNvPr id="4" name="Chart 3">
          <a:extLst>
            <a:ext uri="{FF2B5EF4-FFF2-40B4-BE49-F238E27FC236}">
              <a16:creationId xmlns:a16="http://schemas.microsoft.com/office/drawing/2014/main" id="{E3F4A54C-516A-43ED-AAEB-AD470A98E2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374650</xdr:colOff>
      <xdr:row>80</xdr:row>
      <xdr:rowOff>92075</xdr:rowOff>
    </xdr:from>
    <xdr:to>
      <xdr:col>8</xdr:col>
      <xdr:colOff>266700</xdr:colOff>
      <xdr:row>93</xdr:row>
      <xdr:rowOff>0</xdr:rowOff>
    </xdr:to>
    <xdr:graphicFrame macro="">
      <xdr:nvGraphicFramePr>
        <xdr:cNvPr id="5" name="Chart 4">
          <a:extLst>
            <a:ext uri="{FF2B5EF4-FFF2-40B4-BE49-F238E27FC236}">
              <a16:creationId xmlns:a16="http://schemas.microsoft.com/office/drawing/2014/main" id="{42912AF3-B7D4-4DD1-9303-2E7D584846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609600</xdr:colOff>
      <xdr:row>0</xdr:row>
      <xdr:rowOff>88900</xdr:rowOff>
    </xdr:from>
    <xdr:to>
      <xdr:col>13</xdr:col>
      <xdr:colOff>457201</xdr:colOff>
      <xdr:row>14</xdr:row>
      <xdr:rowOff>39153</xdr:rowOff>
    </xdr:to>
    <mc:AlternateContent xmlns:mc="http://schemas.openxmlformats.org/markup-compatibility/2006" xmlns:a14="http://schemas.microsoft.com/office/drawing/2010/main">
      <mc:Choice Requires="a14">
        <xdr:graphicFrame macro="">
          <xdr:nvGraphicFramePr>
            <xdr:cNvPr id="6" name="Project Name">
              <a:extLst>
                <a:ext uri="{FF2B5EF4-FFF2-40B4-BE49-F238E27FC236}">
                  <a16:creationId xmlns:a16="http://schemas.microsoft.com/office/drawing/2014/main" id="{9DDF93AA-3DDE-4E8F-9A78-000D5B1F6EE9}"/>
                </a:ext>
              </a:extLst>
            </xdr:cNvPr>
            <xdr:cNvGraphicFramePr/>
          </xdr:nvGraphicFramePr>
          <xdr:xfrm>
            <a:off x="0" y="0"/>
            <a:ext cx="0" cy="0"/>
          </xdr:xfrm>
          <a:graphic>
            <a:graphicData uri="http://schemas.microsoft.com/office/drawing/2010/slicer">
              <sle:slicer xmlns:sle="http://schemas.microsoft.com/office/drawing/2010/slicer" name="Project Name"/>
            </a:graphicData>
          </a:graphic>
        </xdr:graphicFrame>
      </mc:Choice>
      <mc:Fallback xmlns="">
        <xdr:sp macro="" textlink="">
          <xdr:nvSpPr>
            <xdr:cNvPr id="0" name=""/>
            <xdr:cNvSpPr>
              <a:spLocks noTextEdit="1"/>
            </xdr:cNvSpPr>
          </xdr:nvSpPr>
          <xdr:spPr>
            <a:xfrm>
              <a:off x="8369891" y="88900"/>
              <a:ext cx="1819054" cy="2431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38100</xdr:colOff>
      <xdr:row>8</xdr:row>
      <xdr:rowOff>0</xdr:rowOff>
    </xdr:from>
    <xdr:to>
      <xdr:col>10</xdr:col>
      <xdr:colOff>546099</xdr:colOff>
      <xdr:row>21</xdr:row>
      <xdr:rowOff>128053</xdr:rowOff>
    </xdr:to>
    <mc:AlternateContent xmlns:mc="http://schemas.openxmlformats.org/markup-compatibility/2006" xmlns:a14="http://schemas.microsoft.com/office/drawing/2010/main">
      <mc:Choice Requires="a14">
        <xdr:graphicFrame macro="">
          <xdr:nvGraphicFramePr>
            <xdr:cNvPr id="7" name="Assigned to">
              <a:extLst>
                <a:ext uri="{FF2B5EF4-FFF2-40B4-BE49-F238E27FC236}">
                  <a16:creationId xmlns:a16="http://schemas.microsoft.com/office/drawing/2014/main" id="{EBC2F8F5-8C96-4BF9-A6F7-509DAE9DC63D}"/>
                </a:ext>
              </a:extLst>
            </xdr:cNvPr>
            <xdr:cNvGraphicFramePr/>
          </xdr:nvGraphicFramePr>
          <xdr:xfrm>
            <a:off x="0" y="0"/>
            <a:ext cx="0" cy="0"/>
          </xdr:xfrm>
          <a:graphic>
            <a:graphicData uri="http://schemas.microsoft.com/office/drawing/2010/slicer">
              <sle:slicer xmlns:sle="http://schemas.microsoft.com/office/drawing/2010/slicer" name="Assigned to"/>
            </a:graphicData>
          </a:graphic>
        </xdr:graphicFrame>
      </mc:Choice>
      <mc:Fallback xmlns="">
        <xdr:sp macro="" textlink="">
          <xdr:nvSpPr>
            <xdr:cNvPr id="0" name=""/>
            <xdr:cNvSpPr>
              <a:spLocks noTextEdit="1"/>
            </xdr:cNvSpPr>
          </xdr:nvSpPr>
          <xdr:spPr>
            <a:xfrm>
              <a:off x="6484088" y="1417674"/>
              <a:ext cx="1822302" cy="24317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6350</xdr:colOff>
      <xdr:row>0</xdr:row>
      <xdr:rowOff>69851</xdr:rowOff>
    </xdr:from>
    <xdr:to>
      <xdr:col>10</xdr:col>
      <xdr:colOff>514349</xdr:colOff>
      <xdr:row>7</xdr:row>
      <xdr:rowOff>50801</xdr:rowOff>
    </xdr:to>
    <mc:AlternateContent xmlns:mc="http://schemas.openxmlformats.org/markup-compatibility/2006" xmlns:a14="http://schemas.microsoft.com/office/drawing/2010/main">
      <mc:Choice Requires="a14">
        <xdr:graphicFrame macro="">
          <xdr:nvGraphicFramePr>
            <xdr:cNvPr id="8" name="Status">
              <a:extLst>
                <a:ext uri="{FF2B5EF4-FFF2-40B4-BE49-F238E27FC236}">
                  <a16:creationId xmlns:a16="http://schemas.microsoft.com/office/drawing/2014/main" id="{D31053DF-D408-4DEC-A0DB-6F2340D36EEC}"/>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6452338" y="69851"/>
              <a:ext cx="1822302" cy="1221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refreshedDate="46012.777720833335" createdVersion="7" refreshedVersion="7" minRefreshableVersion="3" recordCount="46" xr:uid="{4167DA1C-BC73-4701-9666-78B37687616F}">
  <cacheSource type="worksheet">
    <worksheetSource ref="B6:J52" sheet="Project Management Data"/>
  </cacheSource>
  <cacheFields count="10">
    <cacheField name="Project Name" numFmtId="0">
      <sharedItems count="15">
        <s v="Marketing"/>
        <s v="Product Dev"/>
        <s v="Customer Svc"/>
        <s v="Financial"/>
        <s v="Research"/>
        <s v="Development"/>
        <s v="Production"/>
        <s v="Sales"/>
        <s v="Support"/>
        <s v="Operations"/>
        <s v="Consulting"/>
        <s v="Training"/>
        <s v="Events"/>
        <s v="Logistics"/>
        <s v="Engineering"/>
      </sharedItems>
    </cacheField>
    <cacheField name="Task Name" numFmtId="0">
      <sharedItems/>
    </cacheField>
    <cacheField name="Assigned to" numFmtId="0">
      <sharedItems count="42">
        <s v="Alice"/>
        <s v="Bob"/>
        <s v="Charlie"/>
        <s v="Daisy"/>
        <s v="Ethan"/>
        <s v="Fiona"/>
        <s v="Gabriel"/>
        <s v="Hannah"/>
        <s v="Ian"/>
        <s v="Julia"/>
        <s v="Kevin"/>
        <s v="Mark"/>
        <s v="Nathan"/>
        <s v="Olivia"/>
        <s v="Peter"/>
        <s v="Quinn"/>
        <s v="Rachel"/>
        <s v="Sam"/>
        <s v="Tim"/>
        <s v="Ursula"/>
        <s v="Victor"/>
        <s v="Wendy"/>
        <s v="Xavier"/>
        <s v="Yvette"/>
        <s v="Zoe"/>
        <s v="Aaron"/>
        <s v="Bella"/>
        <s v="Calvin"/>
        <s v="Diane"/>
        <s v="Edward"/>
        <s v="Gary"/>
        <s v="Helen"/>
        <s v="Isaac"/>
        <s v="Jane"/>
        <s v="Kyle"/>
        <s v="Laura"/>
        <s v="Mike"/>
        <s v="n Nancy"/>
        <s v="Oscar"/>
        <s v="Patricia"/>
        <s v="Quentin"/>
        <s v="Tom"/>
      </sharedItems>
    </cacheField>
    <cacheField name="Start Date" numFmtId="14">
      <sharedItems containsSemiMixedTypes="0" containsNonDate="0" containsDate="1" containsString="0" minDate="2024-01-01T00:00:00" maxDate="2024-03-30T00:00:00" count="29">
        <d v="2024-01-01T00:00:00"/>
        <d v="2024-01-14T00:00:00"/>
        <d v="2024-01-28T00:00:00"/>
        <d v="2024-02-18T00:00:00"/>
        <d v="2024-01-02T00:00:00"/>
        <d v="2024-01-20T00:00:00"/>
        <d v="2024-02-04T00:00:00"/>
        <d v="2024-02-01T00:00:00"/>
        <d v="2024-02-24T00:00:00"/>
        <d v="2024-03-21T00:00:00"/>
        <d v="2024-02-02T00:00:00"/>
        <d v="2024-02-13T00:00:00"/>
        <d v="2024-03-19T00:00:00"/>
        <d v="2024-01-26T00:00:00"/>
        <d v="2024-02-28T00:00:00"/>
        <d v="2024-02-08T00:00:00"/>
        <d v="2024-03-14T00:00:00"/>
        <d v="2024-01-03T00:00:00"/>
        <d v="2024-02-17T00:00:00"/>
        <d v="2024-01-06T00:00:00"/>
        <d v="2024-02-03T00:00:00"/>
        <d v="2024-01-27T00:00:00"/>
        <d v="2024-03-02T00:00:00"/>
        <d v="2024-02-29T00:00:00"/>
        <d v="2024-03-06T00:00:00"/>
        <d v="2024-01-04T00:00:00"/>
        <d v="2024-01-29T00:00:00"/>
        <d v="2024-03-29T00:00:00"/>
        <d v="2024-02-23T00:00:00"/>
      </sharedItems>
      <fieldGroup par="9" base="3">
        <rangePr groupBy="days" startDate="2024-01-01T00:00:00" endDate="2024-03-30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4"/>
        </groupItems>
      </fieldGroup>
    </cacheField>
    <cacheField name="Days Required" numFmtId="0">
      <sharedItems containsSemiMixedTypes="0" containsString="0" containsNumber="1" containsInteger="1" minValue="10" maxValue="60"/>
    </cacheField>
    <cacheField name="Duration Type" numFmtId="0">
      <sharedItems/>
    </cacheField>
    <cacheField name="End Date" numFmtId="14">
      <sharedItems containsSemiMixedTypes="0" containsNonDate="0" containsDate="1" containsString="0" minDate="2024-01-14T00:00:00" maxDate="2024-04-21T00:00:00"/>
    </cacheField>
    <cacheField name="Status" numFmtId="14">
      <sharedItems count="3">
        <s v="In Progress"/>
        <s v="Completed"/>
        <s v="Not Started"/>
      </sharedItems>
    </cacheField>
    <cacheField name="Progress" numFmtId="9">
      <sharedItems containsSemiMixedTypes="0" containsString="0" containsNumber="1" minValue="0" maxValue="1"/>
    </cacheField>
    <cacheField name="Months" numFmtId="0" databaseField="0">
      <fieldGroup base="3">
        <rangePr groupBy="months" startDate="2024-01-01T00:00:00" endDate="2024-03-30T00:00:00"/>
        <groupItems count="14">
          <s v="&lt;01-01-2024"/>
          <s v="Jan"/>
          <s v="Feb"/>
          <s v="Mar"/>
          <s v="Apr"/>
          <s v="May"/>
          <s v="Jun"/>
          <s v="Jul"/>
          <s v="Aug"/>
          <s v="Sep"/>
          <s v="Oct"/>
          <s v="Nov"/>
          <s v="Dec"/>
          <s v="&gt;30-03-2024"/>
        </groupItems>
      </fieldGroup>
    </cacheField>
  </cacheFields>
  <extLst>
    <ext xmlns:x14="http://schemas.microsoft.com/office/spreadsheetml/2009/9/main" uri="{725AE2AE-9491-48be-B2B4-4EB974FC3084}">
      <x14:pivotCacheDefinition pivotCacheId="10590351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x v="0"/>
    <s v="Market Research"/>
    <x v="0"/>
    <x v="0"/>
    <n v="13"/>
    <s v="Short"/>
    <d v="2024-01-14T00:00:00"/>
    <x v="0"/>
    <n v="0.78"/>
  </r>
  <r>
    <x v="0"/>
    <s v="Content Creation"/>
    <x v="1"/>
    <x v="1"/>
    <n v="14"/>
    <s v="Short"/>
    <d v="2024-01-28T00:00:00"/>
    <x v="1"/>
    <n v="1"/>
  </r>
  <r>
    <x v="0"/>
    <s v="Social Media Planning"/>
    <x v="2"/>
    <x v="2"/>
    <n v="22"/>
    <s v="Medium"/>
    <d v="2024-02-19T00:00:00"/>
    <x v="0"/>
    <n v="0.45"/>
  </r>
  <r>
    <x v="0"/>
    <s v="Campaign Analysis"/>
    <x v="3"/>
    <x v="3"/>
    <n v="25"/>
    <s v="Medium"/>
    <d v="2024-03-14T00:00:00"/>
    <x v="2"/>
    <n v="0"/>
  </r>
  <r>
    <x v="1"/>
    <s v="Prototype Development"/>
    <x v="4"/>
    <x v="4"/>
    <n v="18"/>
    <s v="Medium"/>
    <d v="2024-01-20T00:00:00"/>
    <x v="1"/>
    <n v="1"/>
  </r>
  <r>
    <x v="1"/>
    <s v="Quality Assurance"/>
    <x v="5"/>
    <x v="5"/>
    <n v="10"/>
    <s v="Short"/>
    <d v="2024-01-30T00:00:00"/>
    <x v="0"/>
    <n v="0.78"/>
  </r>
  <r>
    <x v="1"/>
    <s v="User Interface Design"/>
    <x v="6"/>
    <x v="6"/>
    <n v="25"/>
    <s v="Medium"/>
    <d v="2024-02-29T00:00:00"/>
    <x v="2"/>
    <n v="0"/>
  </r>
  <r>
    <x v="2"/>
    <s v="Service Improvement"/>
    <x v="7"/>
    <x v="7"/>
    <n v="22"/>
    <s v="Medium"/>
    <d v="2024-02-23T00:00:00"/>
    <x v="1"/>
    <n v="1"/>
  </r>
  <r>
    <x v="2"/>
    <s v="Ticket Resolution"/>
    <x v="8"/>
    <x v="8"/>
    <n v="25"/>
    <s v="Medium"/>
    <d v="2024-03-20T00:00:00"/>
    <x v="1"/>
    <n v="1"/>
  </r>
  <r>
    <x v="2"/>
    <s v="Customer Feedback"/>
    <x v="9"/>
    <x v="9"/>
    <n v="30"/>
    <s v="Long"/>
    <d v="2024-04-20T00:00:00"/>
    <x v="2"/>
    <n v="0"/>
  </r>
  <r>
    <x v="3"/>
    <s v="Budget Analysis"/>
    <x v="10"/>
    <x v="10"/>
    <n v="22"/>
    <s v="Medium"/>
    <d v="2024-02-24T00:00:00"/>
    <x v="0"/>
    <n v="0.1"/>
  </r>
  <r>
    <x v="3"/>
    <s v="Financial Reporting"/>
    <x v="11"/>
    <x v="11"/>
    <n v="21"/>
    <s v="Medium"/>
    <d v="2024-02-09T00:00:00"/>
    <x v="0"/>
    <n v="0.78"/>
  </r>
  <r>
    <x v="3"/>
    <s v="Investment Planning"/>
    <x v="11"/>
    <x v="12"/>
    <n v="25"/>
    <s v="Medium"/>
    <d v="2024-04-13T00:00:00"/>
    <x v="1"/>
    <n v="1"/>
  </r>
  <r>
    <x v="4"/>
    <s v="Market Trends Analysis"/>
    <x v="12"/>
    <x v="4"/>
    <n v="23"/>
    <s v="Medium"/>
    <d v="2024-01-25T00:00:00"/>
    <x v="0"/>
    <n v="0.5"/>
  </r>
  <r>
    <x v="4"/>
    <s v="Data Collection"/>
    <x v="13"/>
    <x v="13"/>
    <n v="32"/>
    <s v="Long"/>
    <d v="2024-02-27T00:00:00"/>
    <x v="2"/>
    <n v="0"/>
  </r>
  <r>
    <x v="4"/>
    <s v="Research Paper Writing"/>
    <x v="14"/>
    <x v="14"/>
    <n v="27"/>
    <s v="Long"/>
    <d v="2024-03-26T00:00:00"/>
    <x v="2"/>
    <n v="0"/>
  </r>
  <r>
    <x v="5"/>
    <s v="Software Development"/>
    <x v="15"/>
    <x v="4"/>
    <n v="36"/>
    <s v="Long"/>
    <d v="2024-02-07T00:00:00"/>
    <x v="1"/>
    <n v="1"/>
  </r>
  <r>
    <x v="5"/>
    <s v="Feature Enhancement"/>
    <x v="16"/>
    <x v="15"/>
    <n v="34"/>
    <s v="Long"/>
    <d v="2024-03-13T00:00:00"/>
    <x v="2"/>
    <n v="0"/>
  </r>
  <r>
    <x v="5"/>
    <s v="Code Review"/>
    <x v="17"/>
    <x v="16"/>
    <n v="30"/>
    <s v="Long"/>
    <d v="2024-04-13T00:00:00"/>
    <x v="2"/>
    <n v="0"/>
  </r>
  <r>
    <x v="6"/>
    <s v="Manufacturing"/>
    <x v="18"/>
    <x v="17"/>
    <n v="47"/>
    <s v="Long"/>
    <d v="2024-02-19T00:00:00"/>
    <x v="0"/>
    <n v="0.3"/>
  </r>
  <r>
    <x v="6"/>
    <s v="Quality Control"/>
    <x v="19"/>
    <x v="18"/>
    <n v="27"/>
    <s v="Long"/>
    <d v="2024-03-15T00:00:00"/>
    <x v="2"/>
    <n v="0"/>
  </r>
  <r>
    <x v="6"/>
    <s v="Packaging Design"/>
    <x v="20"/>
    <x v="16"/>
    <n v="22"/>
    <s v="Medium"/>
    <d v="2024-04-05T00:00:00"/>
    <x v="2"/>
    <n v="0"/>
  </r>
  <r>
    <x v="7"/>
    <s v="Lead Generation"/>
    <x v="21"/>
    <x v="17"/>
    <n v="60"/>
    <s v="Long"/>
    <d v="2024-03-03T00:00:00"/>
    <x v="0"/>
    <n v="0.7"/>
  </r>
  <r>
    <x v="7"/>
    <s v="Client Meetings"/>
    <x v="22"/>
    <x v="19"/>
    <n v="20"/>
    <s v="Medium"/>
    <d v="2024-01-26T00:00:00"/>
    <x v="0"/>
    <n v="0.78"/>
  </r>
  <r>
    <x v="7"/>
    <s v="Contract Negotiation"/>
    <x v="23"/>
    <x v="20"/>
    <n v="35"/>
    <s v="Long"/>
    <d v="2024-03-09T00:00:00"/>
    <x v="2"/>
    <n v="0"/>
  </r>
  <r>
    <x v="8"/>
    <s v="Technical Support"/>
    <x v="24"/>
    <x v="0"/>
    <n v="25"/>
    <s v="Medium"/>
    <d v="2024-01-26T00:00:00"/>
    <x v="1"/>
    <n v="1"/>
  </r>
  <r>
    <x v="8"/>
    <s v="Bug Fixes"/>
    <x v="25"/>
    <x v="21"/>
    <n v="31"/>
    <s v="Long"/>
    <d v="2024-02-27T00:00:00"/>
    <x v="1"/>
    <n v="1"/>
  </r>
  <r>
    <x v="8"/>
    <s v="Software Updates"/>
    <x v="26"/>
    <x v="22"/>
    <n v="22"/>
    <s v="Medium"/>
    <d v="2024-03-24T00:00:00"/>
    <x v="2"/>
    <n v="0"/>
  </r>
  <r>
    <x v="9"/>
    <s v="Process Optimization"/>
    <x v="27"/>
    <x v="17"/>
    <n v="30"/>
    <s v="Long"/>
    <d v="2024-02-02T00:00:00"/>
    <x v="0"/>
    <n v="0.4"/>
  </r>
  <r>
    <x v="9"/>
    <s v="Inventory Management"/>
    <x v="28"/>
    <x v="20"/>
    <n v="25"/>
    <s v="Medium"/>
    <d v="2024-02-28T00:00:00"/>
    <x v="2"/>
    <n v="0"/>
  </r>
  <r>
    <x v="9"/>
    <s v="Facility Maintenance"/>
    <x v="29"/>
    <x v="23"/>
    <n v="20"/>
    <s v="Medium"/>
    <d v="2024-03-20T00:00:00"/>
    <x v="2"/>
    <n v="0"/>
  </r>
  <r>
    <x v="10"/>
    <s v="Strategic Planning"/>
    <x v="5"/>
    <x v="4"/>
    <n v="35"/>
    <s v="Long"/>
    <d v="2024-02-06T00:00:00"/>
    <x v="0"/>
    <n v="0.6"/>
  </r>
  <r>
    <x v="10"/>
    <s v="Market Expansion"/>
    <x v="30"/>
    <x v="10"/>
    <n v="32"/>
    <s v="Long"/>
    <d v="2024-03-05T00:00:00"/>
    <x v="2"/>
    <n v="0"/>
  </r>
  <r>
    <x v="10"/>
    <s v="Client Advisory"/>
    <x v="31"/>
    <x v="24"/>
    <n v="25"/>
    <s v="Medium"/>
    <d v="2024-03-31T00:00:00"/>
    <x v="2"/>
    <n v="0"/>
  </r>
  <r>
    <x v="11"/>
    <s v="Employee Training"/>
    <x v="32"/>
    <x v="25"/>
    <n v="27"/>
    <s v="Long"/>
    <d v="2024-01-31T00:00:00"/>
    <x v="0"/>
    <n v="0.8"/>
  </r>
  <r>
    <x v="11"/>
    <s v="Certification Programs"/>
    <x v="33"/>
    <x v="2"/>
    <n v="30"/>
    <s v="Long"/>
    <d v="2024-02-27T00:00:00"/>
    <x v="2"/>
    <n v="0"/>
  </r>
  <r>
    <x v="11"/>
    <s v="Skill Development"/>
    <x v="34"/>
    <x v="14"/>
    <n v="22"/>
    <s v="Medium"/>
    <d v="2024-03-21T00:00:00"/>
    <x v="2"/>
    <n v="0"/>
  </r>
  <r>
    <x v="12"/>
    <s v="Event Planning"/>
    <x v="35"/>
    <x v="17"/>
    <n v="25"/>
    <s v="Medium"/>
    <d v="2024-01-28T00:00:00"/>
    <x v="0"/>
    <n v="0.3"/>
  </r>
  <r>
    <x v="12"/>
    <s v="Conference Management"/>
    <x v="36"/>
    <x v="20"/>
    <n v="20"/>
    <s v="Medium"/>
    <d v="2024-02-23T00:00:00"/>
    <x v="2"/>
    <n v="0"/>
  </r>
  <r>
    <x v="12"/>
    <s v="Sponsorship Coordinatio"/>
    <x v="37"/>
    <x v="8"/>
    <n v="35"/>
    <s v="Long"/>
    <d v="2024-03-30T00:00:00"/>
    <x v="2"/>
    <n v="0"/>
  </r>
  <r>
    <x v="13"/>
    <s v="Supply Chain Management"/>
    <x v="38"/>
    <x v="17"/>
    <n v="25"/>
    <s v="Medium"/>
    <d v="2024-01-28T00:00:00"/>
    <x v="0"/>
    <n v="0.5"/>
  </r>
  <r>
    <x v="13"/>
    <s v="Transportation Planning"/>
    <x v="39"/>
    <x v="26"/>
    <n v="30"/>
    <s v="Long"/>
    <d v="2024-02-28T00:00:00"/>
    <x v="1"/>
    <n v="1"/>
  </r>
  <r>
    <x v="13"/>
    <s v="Inventory Optimization"/>
    <x v="40"/>
    <x v="27"/>
    <n v="20"/>
    <s v="Medium"/>
    <d v="2024-04-18T00:00:00"/>
    <x v="2"/>
    <n v="0"/>
  </r>
  <r>
    <x v="14"/>
    <s v="Product Design"/>
    <x v="16"/>
    <x v="4"/>
    <n v="25"/>
    <s v="Medium"/>
    <d v="2024-01-27T00:00:00"/>
    <x v="0"/>
    <n v="0.2"/>
  </r>
  <r>
    <x v="14"/>
    <s v="System Integration"/>
    <x v="17"/>
    <x v="10"/>
    <n v="22"/>
    <s v="Medium"/>
    <d v="2024-02-24T00:00:00"/>
    <x v="2"/>
    <n v="0"/>
  </r>
  <r>
    <x v="14"/>
    <s v="Prototype Testing"/>
    <x v="41"/>
    <x v="28"/>
    <n v="27"/>
    <s v="Long"/>
    <d v="2024-03-21T00:00:00"/>
    <x v="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819332-331B-4740-9427-5ADF085433E9}"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85:B88" firstHeaderRow="1" firstDataRow="1" firstDataCol="1"/>
  <pivotFields count="10">
    <pivotField showAll="0">
      <items count="16">
        <item x="10"/>
        <item x="2"/>
        <item x="5"/>
        <item x="14"/>
        <item x="12"/>
        <item x="3"/>
        <item x="13"/>
        <item x="0"/>
        <item x="9"/>
        <item x="1"/>
        <item x="6"/>
        <item x="4"/>
        <item x="7"/>
        <item x="8"/>
        <item x="11"/>
        <item t="default"/>
      </items>
    </pivotField>
    <pivotField dataField="1" showAll="0"/>
    <pivotField showAll="0">
      <items count="43">
        <item x="25"/>
        <item x="0"/>
        <item x="26"/>
        <item x="1"/>
        <item x="27"/>
        <item x="2"/>
        <item x="3"/>
        <item x="28"/>
        <item x="29"/>
        <item x="4"/>
        <item x="5"/>
        <item x="6"/>
        <item x="30"/>
        <item x="7"/>
        <item x="31"/>
        <item x="8"/>
        <item x="32"/>
        <item x="33"/>
        <item x="9"/>
        <item x="10"/>
        <item x="34"/>
        <item x="35"/>
        <item x="11"/>
        <item x="36"/>
        <item x="37"/>
        <item x="12"/>
        <item x="13"/>
        <item x="38"/>
        <item x="39"/>
        <item x="14"/>
        <item x="40"/>
        <item x="15"/>
        <item x="16"/>
        <item x="17"/>
        <item x="18"/>
        <item x="41"/>
        <item x="19"/>
        <item x="20"/>
        <item x="21"/>
        <item x="22"/>
        <item x="23"/>
        <item x="24"/>
        <item t="default"/>
      </items>
    </pivotField>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numFmtId="14" showAll="0"/>
    <pivotField showAll="0">
      <items count="4">
        <item x="1"/>
        <item x="0"/>
        <item x="2"/>
        <item t="default"/>
      </items>
    </pivotField>
    <pivotField numFmtId="9" showAll="0"/>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2">
    <field x="9"/>
    <field x="3"/>
  </rowFields>
  <rowItems count="3">
    <i>
      <x v="1"/>
    </i>
    <i>
      <x v="2"/>
    </i>
    <i>
      <x v="3"/>
    </i>
  </rowItems>
  <colItems count="1">
    <i/>
  </colItems>
  <dataFields count="1">
    <dataField name="Count of Task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D1DF80-0038-4C0A-8AA6-AD6071F6972F}"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36:B78" firstHeaderRow="1" firstDataRow="1" firstDataCol="1"/>
  <pivotFields count="10">
    <pivotField showAll="0">
      <items count="16">
        <item x="10"/>
        <item x="2"/>
        <item x="5"/>
        <item x="14"/>
        <item x="12"/>
        <item x="3"/>
        <item x="13"/>
        <item x="0"/>
        <item x="9"/>
        <item x="1"/>
        <item x="6"/>
        <item x="4"/>
        <item x="7"/>
        <item x="8"/>
        <item x="11"/>
        <item t="default"/>
      </items>
    </pivotField>
    <pivotField showAll="0"/>
    <pivotField axis="axisRow" showAll="0">
      <items count="43">
        <item x="25"/>
        <item x="0"/>
        <item x="26"/>
        <item x="1"/>
        <item x="27"/>
        <item x="2"/>
        <item x="3"/>
        <item x="28"/>
        <item x="29"/>
        <item x="4"/>
        <item x="5"/>
        <item x="6"/>
        <item x="30"/>
        <item x="7"/>
        <item x="31"/>
        <item x="8"/>
        <item x="32"/>
        <item x="33"/>
        <item x="9"/>
        <item x="10"/>
        <item x="34"/>
        <item x="35"/>
        <item x="11"/>
        <item x="36"/>
        <item x="37"/>
        <item x="12"/>
        <item x="13"/>
        <item x="38"/>
        <item x="39"/>
        <item x="14"/>
        <item x="40"/>
        <item x="15"/>
        <item x="16"/>
        <item x="17"/>
        <item x="18"/>
        <item x="41"/>
        <item x="19"/>
        <item x="20"/>
        <item x="21"/>
        <item x="22"/>
        <item x="23"/>
        <item x="24"/>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numFmtId="14" showAll="0"/>
    <pivotField showAll="0">
      <items count="4">
        <item x="1"/>
        <item x="0"/>
        <item x="2"/>
        <item t="default"/>
      </items>
    </pivotField>
    <pivotField dataField="1" numFmtId="9" showAll="0"/>
    <pivotField showAll="0">
      <items count="15">
        <item x="0"/>
        <item x="1"/>
        <item x="2"/>
        <item x="3"/>
        <item x="4"/>
        <item x="5"/>
        <item x="6"/>
        <item x="7"/>
        <item x="8"/>
        <item x="9"/>
        <item x="10"/>
        <item x="11"/>
        <item x="12"/>
        <item x="13"/>
        <item t="default"/>
      </items>
    </pivotField>
  </pivotFields>
  <rowFields count="1">
    <field x="2"/>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rowItems>
  <colItems count="1">
    <i/>
  </colItems>
  <dataFields count="1">
    <dataField name="Average of Progress" fld="8" subtotal="average" baseField="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687E87-4D61-4AF8-9268-42B0B2F788AE}"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13:B28" firstHeaderRow="1" firstDataRow="1" firstDataCol="1"/>
  <pivotFields count="10">
    <pivotField axis="axisRow" showAll="0">
      <items count="16">
        <item x="10"/>
        <item x="2"/>
        <item x="5"/>
        <item x="14"/>
        <item x="12"/>
        <item x="3"/>
        <item x="13"/>
        <item x="0"/>
        <item x="9"/>
        <item x="1"/>
        <item x="6"/>
        <item x="4"/>
        <item x="7"/>
        <item x="8"/>
        <item x="11"/>
        <item t="default"/>
      </items>
    </pivotField>
    <pivotField dataField="1" showAll="0"/>
    <pivotField showAll="0">
      <items count="43">
        <item x="25"/>
        <item x="0"/>
        <item x="26"/>
        <item x="1"/>
        <item x="27"/>
        <item x="2"/>
        <item x="3"/>
        <item x="28"/>
        <item x="29"/>
        <item x="4"/>
        <item x="5"/>
        <item x="6"/>
        <item x="30"/>
        <item x="7"/>
        <item x="31"/>
        <item x="8"/>
        <item x="32"/>
        <item x="33"/>
        <item x="9"/>
        <item x="10"/>
        <item x="34"/>
        <item x="35"/>
        <item x="11"/>
        <item x="36"/>
        <item x="37"/>
        <item x="12"/>
        <item x="13"/>
        <item x="38"/>
        <item x="39"/>
        <item x="14"/>
        <item x="40"/>
        <item x="15"/>
        <item x="16"/>
        <item x="17"/>
        <item x="18"/>
        <item x="41"/>
        <item x="19"/>
        <item x="20"/>
        <item x="21"/>
        <item x="22"/>
        <item x="23"/>
        <item x="24"/>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numFmtId="14" showAll="0"/>
    <pivotField showAll="0">
      <items count="4">
        <item x="1"/>
        <item x="0"/>
        <item x="2"/>
        <item t="default"/>
      </items>
    </pivotField>
    <pivotField numFmtId="9" showAll="0"/>
    <pivotField showAll="0">
      <items count="15">
        <item x="0"/>
        <item x="1"/>
        <item x="2"/>
        <item x="3"/>
        <item x="4"/>
        <item x="5"/>
        <item x="6"/>
        <item x="7"/>
        <item x="8"/>
        <item x="9"/>
        <item x="10"/>
        <item x="11"/>
        <item x="12"/>
        <item x="13"/>
        <item t="default"/>
      </items>
    </pivotField>
  </pivotFields>
  <rowFields count="1">
    <field x="0"/>
  </rowFields>
  <rowItems count="15">
    <i>
      <x/>
    </i>
    <i>
      <x v="1"/>
    </i>
    <i>
      <x v="2"/>
    </i>
    <i>
      <x v="3"/>
    </i>
    <i>
      <x v="4"/>
    </i>
    <i>
      <x v="5"/>
    </i>
    <i>
      <x v="6"/>
    </i>
    <i>
      <x v="7"/>
    </i>
    <i>
      <x v="8"/>
    </i>
    <i>
      <x v="9"/>
    </i>
    <i>
      <x v="10"/>
    </i>
    <i>
      <x v="11"/>
    </i>
    <i>
      <x v="12"/>
    </i>
    <i>
      <x v="13"/>
    </i>
    <i>
      <x v="14"/>
    </i>
  </rowItems>
  <colItems count="1">
    <i/>
  </colItems>
  <dataFields count="1">
    <dataField name="Count of Task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7E6600-F194-4A3F-A0CF-D33464FE7787}"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3:B6" firstHeaderRow="1" firstDataRow="1" firstDataCol="1"/>
  <pivotFields count="10">
    <pivotField showAll="0">
      <items count="16">
        <item x="10"/>
        <item x="2"/>
        <item x="5"/>
        <item x="14"/>
        <item x="12"/>
        <item x="3"/>
        <item x="13"/>
        <item x="0"/>
        <item x="9"/>
        <item x="1"/>
        <item x="6"/>
        <item x="4"/>
        <item x="7"/>
        <item x="8"/>
        <item x="11"/>
        <item t="default"/>
      </items>
    </pivotField>
    <pivotField dataField="1" showAll="0"/>
    <pivotField showAll="0">
      <items count="43">
        <item x="25"/>
        <item x="0"/>
        <item x="26"/>
        <item x="1"/>
        <item x="27"/>
        <item x="2"/>
        <item x="3"/>
        <item x="28"/>
        <item x="29"/>
        <item x="4"/>
        <item x="5"/>
        <item x="6"/>
        <item x="30"/>
        <item x="7"/>
        <item x="31"/>
        <item x="8"/>
        <item x="32"/>
        <item x="33"/>
        <item x="9"/>
        <item x="10"/>
        <item x="34"/>
        <item x="35"/>
        <item x="11"/>
        <item x="36"/>
        <item x="37"/>
        <item x="12"/>
        <item x="13"/>
        <item x="38"/>
        <item x="39"/>
        <item x="14"/>
        <item x="40"/>
        <item x="15"/>
        <item x="16"/>
        <item x="17"/>
        <item x="18"/>
        <item x="41"/>
        <item x="19"/>
        <item x="20"/>
        <item x="21"/>
        <item x="22"/>
        <item x="23"/>
        <item x="24"/>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numFmtId="14" showAll="0"/>
    <pivotField axis="axisRow" showAll="0">
      <items count="4">
        <item x="1"/>
        <item x="0"/>
        <item x="2"/>
        <item t="default"/>
      </items>
    </pivotField>
    <pivotField numFmtId="9" showAll="0"/>
    <pivotField showAll="0">
      <items count="15">
        <item x="0"/>
        <item x="1"/>
        <item x="2"/>
        <item x="3"/>
        <item x="4"/>
        <item x="5"/>
        <item x="6"/>
        <item x="7"/>
        <item x="8"/>
        <item x="9"/>
        <item x="10"/>
        <item x="11"/>
        <item x="12"/>
        <item x="13"/>
        <item t="default"/>
      </items>
    </pivotField>
  </pivotFields>
  <rowFields count="1">
    <field x="7"/>
  </rowFields>
  <rowItems count="3">
    <i>
      <x/>
    </i>
    <i>
      <x v="1"/>
    </i>
    <i>
      <x v="2"/>
    </i>
  </rowItems>
  <colItems count="1">
    <i/>
  </colItems>
  <dataFields count="1">
    <dataField name="Count of Task Name"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7" count="1" selected="0">
            <x v="0"/>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 chart="2" format="9">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Name" xr10:uid="{2A4D01F5-7ADF-42D7-96D8-B10A17259E52}" sourceName="Project Name">
  <pivotTables>
    <pivotTable tabId="5" name="PivotTable3"/>
    <pivotTable tabId="5" name="PivotTable4"/>
    <pivotTable tabId="5" name="PivotTable5"/>
    <pivotTable tabId="5" name="PivotTable6"/>
  </pivotTables>
  <data>
    <tabular pivotCacheId="1059035107">
      <items count="15">
        <i x="10" s="1"/>
        <i x="2" s="1"/>
        <i x="5" s="1"/>
        <i x="14" s="1"/>
        <i x="12" s="1"/>
        <i x="3" s="1"/>
        <i x="13" s="1"/>
        <i x="0" s="1"/>
        <i x="9" s="1"/>
        <i x="1" s="1"/>
        <i x="6" s="1"/>
        <i x="4" s="1"/>
        <i x="7" s="1"/>
        <i x="8"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to" xr10:uid="{02082AC5-7DC1-4DD0-B903-2E62A9847A63}" sourceName="Assigned to">
  <pivotTables>
    <pivotTable tabId="5" name="PivotTable3"/>
    <pivotTable tabId="5" name="PivotTable4"/>
    <pivotTable tabId="5" name="PivotTable5"/>
    <pivotTable tabId="5" name="PivotTable6"/>
  </pivotTables>
  <data>
    <tabular pivotCacheId="1059035107">
      <items count="42">
        <i x="25" s="1"/>
        <i x="0" s="1"/>
        <i x="26" s="1"/>
        <i x="1" s="1"/>
        <i x="27" s="1"/>
        <i x="2" s="1"/>
        <i x="3" s="1"/>
        <i x="28" s="1"/>
        <i x="29" s="1"/>
        <i x="4" s="1"/>
        <i x="5" s="1"/>
        <i x="6" s="1"/>
        <i x="30" s="1"/>
        <i x="7" s="1"/>
        <i x="31" s="1"/>
        <i x="8" s="1"/>
        <i x="32" s="1"/>
        <i x="33" s="1"/>
        <i x="9" s="1"/>
        <i x="10" s="1"/>
        <i x="34" s="1"/>
        <i x="35" s="1"/>
        <i x="11" s="1"/>
        <i x="36" s="1"/>
        <i x="37" s="1"/>
        <i x="12" s="1"/>
        <i x="13" s="1"/>
        <i x="38" s="1"/>
        <i x="39" s="1"/>
        <i x="14" s="1"/>
        <i x="40" s="1"/>
        <i x="15" s="1"/>
        <i x="16" s="1"/>
        <i x="17" s="1"/>
        <i x="18" s="1"/>
        <i x="41" s="1"/>
        <i x="19" s="1"/>
        <i x="20" s="1"/>
        <i x="21" s="1"/>
        <i x="22" s="1"/>
        <i x="23" s="1"/>
        <i x="2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BE7FAE0-C222-489B-91F8-A50907DC715A}" sourceName="Status">
  <pivotTables>
    <pivotTable tabId="5" name="PivotTable3"/>
    <pivotTable tabId="5" name="PivotTable4"/>
    <pivotTable tabId="5" name="PivotTable5"/>
    <pivotTable tabId="5" name="PivotTable6"/>
  </pivotTables>
  <data>
    <tabular pivotCacheId="105903510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Name 1" xr10:uid="{55B357CA-A003-47BC-A798-6A641A3C7378}" cache="Slicer_Project_Name" caption="Project Name" style="SlicerStyleOther2" rowHeight="230716"/>
  <slicer name="Assigned to 1" xr10:uid="{BFC4C467-E4FC-405B-BF9E-175F9827F7E2}" cache="Slicer_Assigned_to" caption="Assigned to" style="SlicerStyleOther2" rowHeight="230716"/>
  <slicer name="Status 1" xr10:uid="{7548C9F3-0009-4275-8812-30C8167FE9A0}" cache="Slicer_Status" caption="Status" style="SlicerStyleOther2"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Name" xr10:uid="{3BD9A519-D86F-4881-A0BB-84A89AAA40C1}" cache="Slicer_Project_Name" caption="Project Name" rowHeight="230716"/>
  <slicer name="Assigned to" xr10:uid="{86A7EB63-B59C-4554-867E-1FAD14273514}" cache="Slicer_Assigned_to" caption="Assigned to" rowHeight="230716"/>
  <slicer name="Status" xr10:uid="{B09773ED-3281-4B0E-A682-EF488AE64219}" cache="Slicer_Status" caption="Status"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948AE-6FB7-44BB-A5E8-6C06E995C5C7}">
  <dimension ref="A1"/>
  <sheetViews>
    <sheetView showGridLines="0" tabSelected="1" topLeftCell="A3" zoomScale="64" workbookViewId="0"/>
  </sheetViews>
  <sheetFormatPr defaultRowHeight="1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A2861-4A50-4E8F-8637-788150FF3AB0}">
  <dimension ref="A3:L88"/>
  <sheetViews>
    <sheetView topLeftCell="A10" zoomScale="86" workbookViewId="0">
      <selection activeCell="A8" sqref="A8"/>
    </sheetView>
  </sheetViews>
  <sheetFormatPr defaultRowHeight="14"/>
  <cols>
    <col min="1" max="1" width="13.6640625" bestFit="1" customWidth="1"/>
    <col min="2" max="2" width="19.1640625" bestFit="1" customWidth="1"/>
  </cols>
  <sheetData>
    <row r="3" spans="1:2">
      <c r="A3" s="8" t="s">
        <v>115</v>
      </c>
      <c r="B3" t="s">
        <v>118</v>
      </c>
    </row>
    <row r="4" spans="1:2">
      <c r="A4" s="9" t="s">
        <v>116</v>
      </c>
      <c r="B4" s="10">
        <v>9</v>
      </c>
    </row>
    <row r="5" spans="1:2">
      <c r="A5" s="9" t="s">
        <v>112</v>
      </c>
      <c r="B5" s="10">
        <v>15</v>
      </c>
    </row>
    <row r="6" spans="1:2">
      <c r="A6" s="9" t="s">
        <v>117</v>
      </c>
      <c r="B6" s="10">
        <v>22</v>
      </c>
    </row>
    <row r="8" spans="1:2">
      <c r="A8" t="str">
        <f>TEXT(SUM(B4:B6),"$0.0K")</f>
        <v>$46.0K</v>
      </c>
    </row>
    <row r="10" spans="1:2">
      <c r="A10">
        <f>COUNTA(GETPIVOTDATA("Task Name",$A$3,"Status","Completed"),GETPIVOTDATA("Task Name",$A$3,"Status","In Progress"),GETPIVOTDATA("Task Name",$A$3,"Status","Not Started"))</f>
        <v>3</v>
      </c>
    </row>
    <row r="13" spans="1:2">
      <c r="A13" s="8" t="s">
        <v>115</v>
      </c>
      <c r="B13" t="s">
        <v>118</v>
      </c>
    </row>
    <row r="14" spans="1:2">
      <c r="A14" s="9" t="s">
        <v>80</v>
      </c>
      <c r="B14" s="10">
        <v>3</v>
      </c>
    </row>
    <row r="15" spans="1:2">
      <c r="A15" s="9" t="s">
        <v>25</v>
      </c>
      <c r="B15" s="10">
        <v>3</v>
      </c>
    </row>
    <row r="16" spans="1:2">
      <c r="A16" s="9" t="s">
        <v>45</v>
      </c>
      <c r="B16" s="10">
        <v>3</v>
      </c>
    </row>
    <row r="17" spans="1:12">
      <c r="A17" s="9" t="s">
        <v>107</v>
      </c>
      <c r="B17" s="10">
        <v>3</v>
      </c>
    </row>
    <row r="18" spans="1:12">
      <c r="A18" s="9" t="s">
        <v>93</v>
      </c>
      <c r="B18" s="10">
        <v>3</v>
      </c>
    </row>
    <row r="19" spans="1:12">
      <c r="A19" s="9" t="s">
        <v>32</v>
      </c>
      <c r="B19" s="10">
        <v>3</v>
      </c>
      <c r="L19" t="str">
        <f>TEXT(GETPIVOTDATA("Task Name",$A$3,"Status","Completed"),"$0.0K")</f>
        <v>$9.0K</v>
      </c>
    </row>
    <row r="20" spans="1:12">
      <c r="A20" s="9" t="s">
        <v>100</v>
      </c>
      <c r="B20" s="10">
        <v>3</v>
      </c>
      <c r="L20" t="str">
        <f>TEXT(GETPIVOTDATA("Task Name",$A$3,"Status","In Progress"),"$0.0K")</f>
        <v>$15.0K</v>
      </c>
    </row>
    <row r="21" spans="1:12">
      <c r="A21" s="9" t="s">
        <v>9</v>
      </c>
      <c r="B21" s="10">
        <v>4</v>
      </c>
      <c r="L21" t="str">
        <f>TEXT(GETPIVOTDATA("Task Name",$A$3,"Status","Not Started"),"$0.0K")</f>
        <v>$22.0K</v>
      </c>
    </row>
    <row r="22" spans="1:12">
      <c r="A22" s="9" t="s">
        <v>73</v>
      </c>
      <c r="B22" s="10">
        <v>3</v>
      </c>
    </row>
    <row r="23" spans="1:12">
      <c r="A23" s="9" t="s">
        <v>18</v>
      </c>
      <c r="B23" s="10">
        <v>3</v>
      </c>
    </row>
    <row r="24" spans="1:12">
      <c r="A24" s="9" t="s">
        <v>52</v>
      </c>
      <c r="B24" s="10">
        <v>3</v>
      </c>
    </row>
    <row r="25" spans="1:12">
      <c r="A25" s="9" t="s">
        <v>38</v>
      </c>
      <c r="B25" s="10">
        <v>3</v>
      </c>
    </row>
    <row r="26" spans="1:12">
      <c r="A26" s="9" t="s">
        <v>59</v>
      </c>
      <c r="B26" s="10">
        <v>3</v>
      </c>
    </row>
    <row r="27" spans="1:12">
      <c r="A27" s="9" t="s">
        <v>66</v>
      </c>
      <c r="B27" s="10">
        <v>3</v>
      </c>
    </row>
    <row r="28" spans="1:12">
      <c r="A28" s="9" t="s">
        <v>86</v>
      </c>
      <c r="B28" s="10">
        <v>3</v>
      </c>
    </row>
    <row r="36" spans="1:2">
      <c r="A36" s="8" t="s">
        <v>115</v>
      </c>
      <c r="B36" t="s">
        <v>119</v>
      </c>
    </row>
    <row r="37" spans="1:2">
      <c r="A37" s="9" t="s">
        <v>70</v>
      </c>
      <c r="B37" s="10">
        <v>1</v>
      </c>
    </row>
    <row r="38" spans="1:2">
      <c r="A38" s="9" t="s">
        <v>11</v>
      </c>
      <c r="B38" s="10">
        <v>0.78</v>
      </c>
    </row>
    <row r="39" spans="1:2">
      <c r="A39" s="9" t="s">
        <v>72</v>
      </c>
      <c r="B39" s="10">
        <v>0</v>
      </c>
    </row>
    <row r="40" spans="1:2">
      <c r="A40" s="9" t="s">
        <v>13</v>
      </c>
      <c r="B40" s="10">
        <v>1</v>
      </c>
    </row>
    <row r="41" spans="1:2">
      <c r="A41" s="9" t="s">
        <v>75</v>
      </c>
      <c r="B41" s="10">
        <v>0.4</v>
      </c>
    </row>
    <row r="42" spans="1:2">
      <c r="A42" s="9" t="s">
        <v>15</v>
      </c>
      <c r="B42" s="10">
        <v>0.45</v>
      </c>
    </row>
    <row r="43" spans="1:2">
      <c r="A43" s="9" t="s">
        <v>17</v>
      </c>
      <c r="B43" s="10">
        <v>0</v>
      </c>
    </row>
    <row r="44" spans="1:2">
      <c r="A44" s="9" t="s">
        <v>77</v>
      </c>
      <c r="B44" s="10">
        <v>0</v>
      </c>
    </row>
    <row r="45" spans="1:2">
      <c r="A45" s="9" t="s">
        <v>79</v>
      </c>
      <c r="B45" s="10">
        <v>0</v>
      </c>
    </row>
    <row r="46" spans="1:2">
      <c r="A46" s="9" t="s">
        <v>20</v>
      </c>
      <c r="B46" s="10">
        <v>1</v>
      </c>
    </row>
    <row r="47" spans="1:2">
      <c r="A47" s="9" t="s">
        <v>22</v>
      </c>
      <c r="B47" s="10">
        <v>0.69</v>
      </c>
    </row>
    <row r="48" spans="1:2">
      <c r="A48" s="9" t="s">
        <v>24</v>
      </c>
      <c r="B48" s="10">
        <v>0</v>
      </c>
    </row>
    <row r="49" spans="1:2">
      <c r="A49" s="9" t="s">
        <v>83</v>
      </c>
      <c r="B49" s="10">
        <v>0</v>
      </c>
    </row>
    <row r="50" spans="1:2">
      <c r="A50" s="9" t="s">
        <v>27</v>
      </c>
      <c r="B50" s="10">
        <v>1</v>
      </c>
    </row>
    <row r="51" spans="1:2">
      <c r="A51" s="9" t="s">
        <v>85</v>
      </c>
      <c r="B51" s="10">
        <v>0</v>
      </c>
    </row>
    <row r="52" spans="1:2">
      <c r="A52" s="9" t="s">
        <v>29</v>
      </c>
      <c r="B52" s="10">
        <v>1</v>
      </c>
    </row>
    <row r="53" spans="1:2">
      <c r="A53" s="9" t="s">
        <v>88</v>
      </c>
      <c r="B53" s="10">
        <v>0.8</v>
      </c>
    </row>
    <row r="54" spans="1:2">
      <c r="A54" s="9" t="s">
        <v>90</v>
      </c>
      <c r="B54" s="10">
        <v>0</v>
      </c>
    </row>
    <row r="55" spans="1:2">
      <c r="A55" s="9" t="s">
        <v>31</v>
      </c>
      <c r="B55" s="10">
        <v>0</v>
      </c>
    </row>
    <row r="56" spans="1:2">
      <c r="A56" s="9" t="s">
        <v>34</v>
      </c>
      <c r="B56" s="10">
        <v>0.1</v>
      </c>
    </row>
    <row r="57" spans="1:2">
      <c r="A57" s="9" t="s">
        <v>92</v>
      </c>
      <c r="B57" s="10">
        <v>0</v>
      </c>
    </row>
    <row r="58" spans="1:2">
      <c r="A58" s="9" t="s">
        <v>95</v>
      </c>
      <c r="B58" s="10">
        <v>0.3</v>
      </c>
    </row>
    <row r="59" spans="1:2">
      <c r="A59" s="9" t="s">
        <v>36</v>
      </c>
      <c r="B59" s="10">
        <v>0.89</v>
      </c>
    </row>
    <row r="60" spans="1:2">
      <c r="A60" s="9" t="s">
        <v>97</v>
      </c>
      <c r="B60" s="10">
        <v>0</v>
      </c>
    </row>
    <row r="61" spans="1:2">
      <c r="A61" s="9" t="s">
        <v>99</v>
      </c>
      <c r="B61" s="10">
        <v>0</v>
      </c>
    </row>
    <row r="62" spans="1:2">
      <c r="A62" s="9" t="s">
        <v>40</v>
      </c>
      <c r="B62" s="10">
        <v>0.5</v>
      </c>
    </row>
    <row r="63" spans="1:2">
      <c r="A63" s="9" t="s">
        <v>42</v>
      </c>
      <c r="B63" s="10">
        <v>0</v>
      </c>
    </row>
    <row r="64" spans="1:2">
      <c r="A64" s="9" t="s">
        <v>102</v>
      </c>
      <c r="B64" s="10">
        <v>0.5</v>
      </c>
    </row>
    <row r="65" spans="1:2">
      <c r="A65" s="9" t="s">
        <v>104</v>
      </c>
      <c r="B65" s="10">
        <v>1</v>
      </c>
    </row>
    <row r="66" spans="1:2">
      <c r="A66" s="9" t="s">
        <v>44</v>
      </c>
      <c r="B66" s="10">
        <v>0</v>
      </c>
    </row>
    <row r="67" spans="1:2">
      <c r="A67" s="9" t="s">
        <v>106</v>
      </c>
      <c r="B67" s="10">
        <v>0</v>
      </c>
    </row>
    <row r="68" spans="1:2">
      <c r="A68" s="9" t="s">
        <v>47</v>
      </c>
      <c r="B68" s="10">
        <v>1</v>
      </c>
    </row>
    <row r="69" spans="1:2">
      <c r="A69" s="9" t="s">
        <v>49</v>
      </c>
      <c r="B69" s="10">
        <v>0.1</v>
      </c>
    </row>
    <row r="70" spans="1:2">
      <c r="A70" s="9" t="s">
        <v>51</v>
      </c>
      <c r="B70" s="10">
        <v>0</v>
      </c>
    </row>
    <row r="71" spans="1:2">
      <c r="A71" s="9" t="s">
        <v>54</v>
      </c>
      <c r="B71" s="10">
        <v>0.3</v>
      </c>
    </row>
    <row r="72" spans="1:2">
      <c r="A72" s="9" t="s">
        <v>111</v>
      </c>
      <c r="B72" s="10">
        <v>0</v>
      </c>
    </row>
    <row r="73" spans="1:2">
      <c r="A73" s="9" t="s">
        <v>56</v>
      </c>
      <c r="B73" s="10">
        <v>0</v>
      </c>
    </row>
    <row r="74" spans="1:2">
      <c r="A74" s="9" t="s">
        <v>58</v>
      </c>
      <c r="B74" s="10">
        <v>0</v>
      </c>
    </row>
    <row r="75" spans="1:2">
      <c r="A75" s="9" t="s">
        <v>61</v>
      </c>
      <c r="B75" s="10">
        <v>0.7</v>
      </c>
    </row>
    <row r="76" spans="1:2">
      <c r="A76" s="9" t="s">
        <v>63</v>
      </c>
      <c r="B76" s="10">
        <v>0.78</v>
      </c>
    </row>
    <row r="77" spans="1:2">
      <c r="A77" s="9" t="s">
        <v>65</v>
      </c>
      <c r="B77" s="10">
        <v>0</v>
      </c>
    </row>
    <row r="78" spans="1:2">
      <c r="A78" s="9" t="s">
        <v>68</v>
      </c>
      <c r="B78" s="10">
        <v>1</v>
      </c>
    </row>
    <row r="85" spans="1:2">
      <c r="A85" s="8" t="s">
        <v>115</v>
      </c>
      <c r="B85" t="s">
        <v>118</v>
      </c>
    </row>
    <row r="86" spans="1:2">
      <c r="A86" s="9" t="s">
        <v>120</v>
      </c>
      <c r="B86" s="10">
        <v>21</v>
      </c>
    </row>
    <row r="87" spans="1:2">
      <c r="A87" s="9" t="s">
        <v>121</v>
      </c>
      <c r="B87" s="10">
        <v>18</v>
      </c>
    </row>
    <row r="88" spans="1:2">
      <c r="A88" s="9" t="s">
        <v>122</v>
      </c>
      <c r="B88" s="10">
        <v>7</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7BEC1-BD91-4F4F-8985-8014BC582418}">
  <dimension ref="B2:J52"/>
  <sheetViews>
    <sheetView showGridLines="0" topLeftCell="A33" workbookViewId="0"/>
  </sheetViews>
  <sheetFormatPr defaultColWidth="9.08203125" defaultRowHeight="18" customHeight="1"/>
  <cols>
    <col min="1" max="1" width="4.33203125" style="2" customWidth="1"/>
    <col min="2" max="2" width="15.58203125" style="2" customWidth="1"/>
    <col min="3" max="3" width="25" style="2" bestFit="1" customWidth="1"/>
    <col min="4" max="4" width="13.4140625" style="2" customWidth="1"/>
    <col min="5" max="5" width="13.58203125" style="2" customWidth="1"/>
    <col min="6" max="7" width="15.58203125" style="2" customWidth="1"/>
    <col min="8" max="9" width="16.58203125" style="2" customWidth="1"/>
    <col min="10" max="10" width="17" style="2" customWidth="1"/>
    <col min="11" max="16384" width="9.08203125" style="2"/>
  </cols>
  <sheetData>
    <row r="2" spans="2:10" ht="18" customHeight="1" thickBot="1">
      <c r="B2" s="1" t="s">
        <v>0</v>
      </c>
      <c r="C2" s="1"/>
      <c r="D2" s="1"/>
      <c r="E2" s="1"/>
      <c r="F2" s="1"/>
      <c r="G2" s="1"/>
      <c r="H2" s="1"/>
      <c r="I2" s="1"/>
      <c r="J2" s="1"/>
    </row>
    <row r="4" spans="2:10" ht="18" customHeight="1" thickBot="1">
      <c r="B4" s="3" t="s">
        <v>1</v>
      </c>
      <c r="C4" s="1"/>
      <c r="D4" s="1"/>
      <c r="E4" s="1"/>
      <c r="F4" s="1"/>
      <c r="G4" s="1"/>
      <c r="H4" s="1"/>
      <c r="I4" s="1"/>
      <c r="J4" s="1"/>
    </row>
    <row r="6" spans="2:10" ht="18" customHeight="1">
      <c r="B6" s="4" t="s">
        <v>2</v>
      </c>
      <c r="C6" s="4" t="s">
        <v>3</v>
      </c>
      <c r="D6" s="4" t="s">
        <v>4</v>
      </c>
      <c r="E6" s="4" t="s">
        <v>5</v>
      </c>
      <c r="F6" s="4" t="s">
        <v>6</v>
      </c>
      <c r="G6" s="4" t="s">
        <v>114</v>
      </c>
      <c r="H6" s="4" t="s">
        <v>7</v>
      </c>
      <c r="I6" s="4" t="s">
        <v>113</v>
      </c>
      <c r="J6" s="4" t="s">
        <v>8</v>
      </c>
    </row>
    <row r="7" spans="2:10" ht="18" customHeight="1">
      <c r="B7" s="5" t="s">
        <v>9</v>
      </c>
      <c r="C7" s="5" t="s">
        <v>10</v>
      </c>
      <c r="D7" s="5" t="s">
        <v>11</v>
      </c>
      <c r="E7" s="6">
        <v>45292</v>
      </c>
      <c r="F7" s="5">
        <v>13</v>
      </c>
      <c r="G7" s="5" t="str">
        <f>IF(F7&lt;=15,"Short",IF(F7&lt;=25,"Medium","Long"))</f>
        <v>Short</v>
      </c>
      <c r="H7" s="6">
        <v>45305</v>
      </c>
      <c r="I7" s="6" t="str">
        <f>IF(J7=100%,"Completed",IF(J7=0%,"Not Started","In Progress"))</f>
        <v>In Progress</v>
      </c>
      <c r="J7" s="7">
        <v>0.78</v>
      </c>
    </row>
    <row r="8" spans="2:10" ht="18" customHeight="1">
      <c r="B8" s="5" t="s">
        <v>9</v>
      </c>
      <c r="C8" s="5" t="s">
        <v>12</v>
      </c>
      <c r="D8" s="5" t="s">
        <v>13</v>
      </c>
      <c r="E8" s="6">
        <v>45305</v>
      </c>
      <c r="F8" s="5">
        <v>14</v>
      </c>
      <c r="G8" s="5" t="str">
        <f t="shared" ref="G8:G52" si="0">IF(F8&lt;=15,"Short",IF(F8&lt;=25,"Medium","Long"))</f>
        <v>Short</v>
      </c>
      <c r="H8" s="6">
        <v>45319</v>
      </c>
      <c r="I8" s="6" t="str">
        <f t="shared" ref="I8:I52" si="1">IF(J8=100%,"Completed",IF(J8=0%,"Not Started","In Progress"))</f>
        <v>Completed</v>
      </c>
      <c r="J8" s="7">
        <v>1</v>
      </c>
    </row>
    <row r="9" spans="2:10" ht="18" customHeight="1">
      <c r="B9" s="5" t="s">
        <v>9</v>
      </c>
      <c r="C9" s="5" t="s">
        <v>14</v>
      </c>
      <c r="D9" s="5" t="s">
        <v>15</v>
      </c>
      <c r="E9" s="6">
        <v>45319</v>
      </c>
      <c r="F9" s="5">
        <v>22</v>
      </c>
      <c r="G9" s="5" t="str">
        <f t="shared" si="0"/>
        <v>Medium</v>
      </c>
      <c r="H9" s="6">
        <v>45341</v>
      </c>
      <c r="I9" s="6" t="str">
        <f t="shared" si="1"/>
        <v>In Progress</v>
      </c>
      <c r="J9" s="7">
        <v>0.45</v>
      </c>
    </row>
    <row r="10" spans="2:10" ht="18" customHeight="1">
      <c r="B10" s="5" t="s">
        <v>9</v>
      </c>
      <c r="C10" s="5" t="s">
        <v>16</v>
      </c>
      <c r="D10" s="5" t="s">
        <v>17</v>
      </c>
      <c r="E10" s="6">
        <v>45340</v>
      </c>
      <c r="F10" s="5">
        <v>25</v>
      </c>
      <c r="G10" s="5" t="str">
        <f t="shared" si="0"/>
        <v>Medium</v>
      </c>
      <c r="H10" s="6">
        <v>45365</v>
      </c>
      <c r="I10" s="6" t="str">
        <f t="shared" si="1"/>
        <v>Not Started</v>
      </c>
      <c r="J10" s="7">
        <v>0</v>
      </c>
    </row>
    <row r="11" spans="2:10" ht="18" customHeight="1">
      <c r="B11" s="5" t="s">
        <v>18</v>
      </c>
      <c r="C11" s="5" t="s">
        <v>19</v>
      </c>
      <c r="D11" s="5" t="s">
        <v>20</v>
      </c>
      <c r="E11" s="6">
        <v>45293</v>
      </c>
      <c r="F11" s="5">
        <v>18</v>
      </c>
      <c r="G11" s="5" t="str">
        <f t="shared" si="0"/>
        <v>Medium</v>
      </c>
      <c r="H11" s="6">
        <v>45311</v>
      </c>
      <c r="I11" s="6" t="str">
        <f t="shared" si="1"/>
        <v>Completed</v>
      </c>
      <c r="J11" s="7">
        <v>1</v>
      </c>
    </row>
    <row r="12" spans="2:10" ht="18" customHeight="1">
      <c r="B12" s="5" t="s">
        <v>18</v>
      </c>
      <c r="C12" s="5" t="s">
        <v>21</v>
      </c>
      <c r="D12" s="5" t="s">
        <v>22</v>
      </c>
      <c r="E12" s="6">
        <v>45311</v>
      </c>
      <c r="F12" s="5">
        <v>10</v>
      </c>
      <c r="G12" s="5" t="str">
        <f t="shared" si="0"/>
        <v>Short</v>
      </c>
      <c r="H12" s="6">
        <v>45321</v>
      </c>
      <c r="I12" s="6" t="str">
        <f t="shared" si="1"/>
        <v>In Progress</v>
      </c>
      <c r="J12" s="7">
        <v>0.78</v>
      </c>
    </row>
    <row r="13" spans="2:10" ht="18" customHeight="1">
      <c r="B13" s="5" t="s">
        <v>18</v>
      </c>
      <c r="C13" s="5" t="s">
        <v>23</v>
      </c>
      <c r="D13" s="5" t="s">
        <v>24</v>
      </c>
      <c r="E13" s="6">
        <v>45326</v>
      </c>
      <c r="F13" s="5">
        <v>25</v>
      </c>
      <c r="G13" s="5" t="str">
        <f t="shared" si="0"/>
        <v>Medium</v>
      </c>
      <c r="H13" s="6">
        <v>45351</v>
      </c>
      <c r="I13" s="6" t="str">
        <f t="shared" si="1"/>
        <v>Not Started</v>
      </c>
      <c r="J13" s="7">
        <v>0</v>
      </c>
    </row>
    <row r="14" spans="2:10" ht="18" customHeight="1">
      <c r="B14" s="5" t="s">
        <v>25</v>
      </c>
      <c r="C14" s="5" t="s">
        <v>26</v>
      </c>
      <c r="D14" s="5" t="s">
        <v>27</v>
      </c>
      <c r="E14" s="6">
        <v>45323</v>
      </c>
      <c r="F14" s="5">
        <v>22</v>
      </c>
      <c r="G14" s="5" t="str">
        <f t="shared" si="0"/>
        <v>Medium</v>
      </c>
      <c r="H14" s="6">
        <v>45345</v>
      </c>
      <c r="I14" s="6" t="str">
        <f t="shared" si="1"/>
        <v>Completed</v>
      </c>
      <c r="J14" s="7">
        <v>1</v>
      </c>
    </row>
    <row r="15" spans="2:10" ht="18" customHeight="1">
      <c r="B15" s="5" t="s">
        <v>25</v>
      </c>
      <c r="C15" s="5" t="s">
        <v>28</v>
      </c>
      <c r="D15" s="5" t="s">
        <v>29</v>
      </c>
      <c r="E15" s="6">
        <v>45346</v>
      </c>
      <c r="F15" s="5">
        <v>25</v>
      </c>
      <c r="G15" s="5" t="str">
        <f t="shared" si="0"/>
        <v>Medium</v>
      </c>
      <c r="H15" s="6">
        <v>45371</v>
      </c>
      <c r="I15" s="6" t="str">
        <f t="shared" si="1"/>
        <v>Completed</v>
      </c>
      <c r="J15" s="7">
        <v>1</v>
      </c>
    </row>
    <row r="16" spans="2:10" ht="18" customHeight="1">
      <c r="B16" s="5" t="s">
        <v>25</v>
      </c>
      <c r="C16" s="5" t="s">
        <v>30</v>
      </c>
      <c r="D16" s="5" t="s">
        <v>31</v>
      </c>
      <c r="E16" s="6">
        <v>45372</v>
      </c>
      <c r="F16" s="5">
        <v>30</v>
      </c>
      <c r="G16" s="5" t="str">
        <f t="shared" si="0"/>
        <v>Long</v>
      </c>
      <c r="H16" s="6">
        <v>45402</v>
      </c>
      <c r="I16" s="6" t="str">
        <f t="shared" si="1"/>
        <v>Not Started</v>
      </c>
      <c r="J16" s="7">
        <v>0</v>
      </c>
    </row>
    <row r="17" spans="2:10" ht="18" customHeight="1">
      <c r="B17" s="5" t="s">
        <v>32</v>
      </c>
      <c r="C17" s="5" t="s">
        <v>33</v>
      </c>
      <c r="D17" s="5" t="s">
        <v>34</v>
      </c>
      <c r="E17" s="6">
        <v>45324</v>
      </c>
      <c r="F17" s="5">
        <v>22</v>
      </c>
      <c r="G17" s="5" t="str">
        <f t="shared" si="0"/>
        <v>Medium</v>
      </c>
      <c r="H17" s="6">
        <v>45346</v>
      </c>
      <c r="I17" s="6" t="str">
        <f t="shared" si="1"/>
        <v>In Progress</v>
      </c>
      <c r="J17" s="7">
        <v>0.1</v>
      </c>
    </row>
    <row r="18" spans="2:10" ht="18" customHeight="1">
      <c r="B18" s="5" t="s">
        <v>32</v>
      </c>
      <c r="C18" s="5" t="s">
        <v>35</v>
      </c>
      <c r="D18" s="5" t="s">
        <v>36</v>
      </c>
      <c r="E18" s="6">
        <v>45335</v>
      </c>
      <c r="F18" s="5">
        <v>21</v>
      </c>
      <c r="G18" s="5" t="str">
        <f t="shared" si="0"/>
        <v>Medium</v>
      </c>
      <c r="H18" s="6">
        <v>45331</v>
      </c>
      <c r="I18" s="6" t="str">
        <f t="shared" si="1"/>
        <v>In Progress</v>
      </c>
      <c r="J18" s="7">
        <v>0.78</v>
      </c>
    </row>
    <row r="19" spans="2:10" ht="18" customHeight="1">
      <c r="B19" s="5" t="s">
        <v>32</v>
      </c>
      <c r="C19" s="5" t="s">
        <v>37</v>
      </c>
      <c r="D19" s="5" t="s">
        <v>36</v>
      </c>
      <c r="E19" s="6">
        <v>45370</v>
      </c>
      <c r="F19" s="5">
        <v>25</v>
      </c>
      <c r="G19" s="5" t="str">
        <f t="shared" si="0"/>
        <v>Medium</v>
      </c>
      <c r="H19" s="6">
        <v>45395</v>
      </c>
      <c r="I19" s="6" t="str">
        <f t="shared" si="1"/>
        <v>Completed</v>
      </c>
      <c r="J19" s="7">
        <v>1</v>
      </c>
    </row>
    <row r="20" spans="2:10" ht="18" customHeight="1">
      <c r="B20" s="5" t="s">
        <v>38</v>
      </c>
      <c r="C20" s="5" t="s">
        <v>39</v>
      </c>
      <c r="D20" s="5" t="s">
        <v>40</v>
      </c>
      <c r="E20" s="6">
        <v>45293</v>
      </c>
      <c r="F20" s="5">
        <v>23</v>
      </c>
      <c r="G20" s="5" t="str">
        <f t="shared" si="0"/>
        <v>Medium</v>
      </c>
      <c r="H20" s="6">
        <v>45316</v>
      </c>
      <c r="I20" s="6" t="str">
        <f t="shared" si="1"/>
        <v>In Progress</v>
      </c>
      <c r="J20" s="7">
        <v>0.5</v>
      </c>
    </row>
    <row r="21" spans="2:10" ht="18" customHeight="1">
      <c r="B21" s="5" t="s">
        <v>38</v>
      </c>
      <c r="C21" s="5" t="s">
        <v>41</v>
      </c>
      <c r="D21" s="5" t="s">
        <v>42</v>
      </c>
      <c r="E21" s="6">
        <v>45317</v>
      </c>
      <c r="F21" s="5">
        <v>32</v>
      </c>
      <c r="G21" s="5" t="str">
        <f t="shared" si="0"/>
        <v>Long</v>
      </c>
      <c r="H21" s="6">
        <v>45349</v>
      </c>
      <c r="I21" s="6" t="str">
        <f t="shared" si="1"/>
        <v>Not Started</v>
      </c>
      <c r="J21" s="7">
        <v>0</v>
      </c>
    </row>
    <row r="22" spans="2:10" ht="18" customHeight="1">
      <c r="B22" s="5" t="s">
        <v>38</v>
      </c>
      <c r="C22" s="5" t="s">
        <v>43</v>
      </c>
      <c r="D22" s="5" t="s">
        <v>44</v>
      </c>
      <c r="E22" s="6">
        <v>45350</v>
      </c>
      <c r="F22" s="5">
        <v>27</v>
      </c>
      <c r="G22" s="5" t="str">
        <f t="shared" si="0"/>
        <v>Long</v>
      </c>
      <c r="H22" s="6">
        <v>45377</v>
      </c>
      <c r="I22" s="6" t="str">
        <f t="shared" si="1"/>
        <v>Not Started</v>
      </c>
      <c r="J22" s="7">
        <v>0</v>
      </c>
    </row>
    <row r="23" spans="2:10" ht="18" customHeight="1">
      <c r="B23" s="5" t="s">
        <v>45</v>
      </c>
      <c r="C23" s="5" t="s">
        <v>46</v>
      </c>
      <c r="D23" s="5" t="s">
        <v>47</v>
      </c>
      <c r="E23" s="6">
        <v>45293</v>
      </c>
      <c r="F23" s="5">
        <v>36</v>
      </c>
      <c r="G23" s="5" t="str">
        <f t="shared" si="0"/>
        <v>Long</v>
      </c>
      <c r="H23" s="6">
        <v>45329</v>
      </c>
      <c r="I23" s="6" t="str">
        <f t="shared" si="1"/>
        <v>Completed</v>
      </c>
      <c r="J23" s="7">
        <v>1</v>
      </c>
    </row>
    <row r="24" spans="2:10" ht="18" customHeight="1">
      <c r="B24" s="5" t="s">
        <v>45</v>
      </c>
      <c r="C24" s="5" t="s">
        <v>48</v>
      </c>
      <c r="D24" s="5" t="s">
        <v>49</v>
      </c>
      <c r="E24" s="6">
        <v>45330</v>
      </c>
      <c r="F24" s="5">
        <v>34</v>
      </c>
      <c r="G24" s="5" t="str">
        <f t="shared" si="0"/>
        <v>Long</v>
      </c>
      <c r="H24" s="6">
        <v>45364</v>
      </c>
      <c r="I24" s="6" t="str">
        <f t="shared" si="1"/>
        <v>Not Started</v>
      </c>
      <c r="J24" s="7">
        <v>0</v>
      </c>
    </row>
    <row r="25" spans="2:10" ht="18" customHeight="1">
      <c r="B25" s="5" t="s">
        <v>45</v>
      </c>
      <c r="C25" s="5" t="s">
        <v>50</v>
      </c>
      <c r="D25" s="5" t="s">
        <v>51</v>
      </c>
      <c r="E25" s="6">
        <v>45365</v>
      </c>
      <c r="F25" s="5">
        <v>30</v>
      </c>
      <c r="G25" s="5" t="str">
        <f t="shared" si="0"/>
        <v>Long</v>
      </c>
      <c r="H25" s="6">
        <v>45395</v>
      </c>
      <c r="I25" s="6" t="str">
        <f t="shared" si="1"/>
        <v>Not Started</v>
      </c>
      <c r="J25" s="7">
        <v>0</v>
      </c>
    </row>
    <row r="26" spans="2:10" ht="18" customHeight="1">
      <c r="B26" s="5" t="s">
        <v>52</v>
      </c>
      <c r="C26" s="5" t="s">
        <v>53</v>
      </c>
      <c r="D26" s="5" t="s">
        <v>54</v>
      </c>
      <c r="E26" s="6">
        <v>45294</v>
      </c>
      <c r="F26" s="5">
        <v>47</v>
      </c>
      <c r="G26" s="5" t="str">
        <f t="shared" si="0"/>
        <v>Long</v>
      </c>
      <c r="H26" s="6">
        <v>45341</v>
      </c>
      <c r="I26" s="6" t="str">
        <f t="shared" si="1"/>
        <v>In Progress</v>
      </c>
      <c r="J26" s="7">
        <v>0.3</v>
      </c>
    </row>
    <row r="27" spans="2:10" ht="18" customHeight="1">
      <c r="B27" s="5" t="s">
        <v>52</v>
      </c>
      <c r="C27" s="5" t="s">
        <v>55</v>
      </c>
      <c r="D27" s="5" t="s">
        <v>56</v>
      </c>
      <c r="E27" s="6">
        <v>45339</v>
      </c>
      <c r="F27" s="5">
        <v>27</v>
      </c>
      <c r="G27" s="5" t="str">
        <f t="shared" si="0"/>
        <v>Long</v>
      </c>
      <c r="H27" s="6">
        <v>45366</v>
      </c>
      <c r="I27" s="6" t="str">
        <f t="shared" si="1"/>
        <v>Not Started</v>
      </c>
      <c r="J27" s="7">
        <v>0</v>
      </c>
    </row>
    <row r="28" spans="2:10" ht="18" customHeight="1">
      <c r="B28" s="5" t="s">
        <v>52</v>
      </c>
      <c r="C28" s="5" t="s">
        <v>57</v>
      </c>
      <c r="D28" s="5" t="s">
        <v>58</v>
      </c>
      <c r="E28" s="6">
        <v>45365</v>
      </c>
      <c r="F28" s="5">
        <v>22</v>
      </c>
      <c r="G28" s="5" t="str">
        <f t="shared" si="0"/>
        <v>Medium</v>
      </c>
      <c r="H28" s="6">
        <v>45387</v>
      </c>
      <c r="I28" s="6" t="str">
        <f t="shared" si="1"/>
        <v>Not Started</v>
      </c>
      <c r="J28" s="7">
        <v>0</v>
      </c>
    </row>
    <row r="29" spans="2:10" ht="18" customHeight="1">
      <c r="B29" s="5" t="s">
        <v>59</v>
      </c>
      <c r="C29" s="5" t="s">
        <v>60</v>
      </c>
      <c r="D29" s="5" t="s">
        <v>61</v>
      </c>
      <c r="E29" s="6">
        <v>45294</v>
      </c>
      <c r="F29" s="5">
        <v>60</v>
      </c>
      <c r="G29" s="5" t="str">
        <f t="shared" si="0"/>
        <v>Long</v>
      </c>
      <c r="H29" s="6">
        <v>45354</v>
      </c>
      <c r="I29" s="6" t="str">
        <f t="shared" si="1"/>
        <v>In Progress</v>
      </c>
      <c r="J29" s="7">
        <v>0.7</v>
      </c>
    </row>
    <row r="30" spans="2:10" ht="18" customHeight="1">
      <c r="B30" s="5" t="s">
        <v>59</v>
      </c>
      <c r="C30" s="5" t="s">
        <v>62</v>
      </c>
      <c r="D30" s="5" t="s">
        <v>63</v>
      </c>
      <c r="E30" s="6">
        <v>45297</v>
      </c>
      <c r="F30" s="5">
        <v>20</v>
      </c>
      <c r="G30" s="5" t="str">
        <f t="shared" si="0"/>
        <v>Medium</v>
      </c>
      <c r="H30" s="6">
        <v>45317</v>
      </c>
      <c r="I30" s="6" t="str">
        <f t="shared" si="1"/>
        <v>In Progress</v>
      </c>
      <c r="J30" s="7">
        <v>0.78</v>
      </c>
    </row>
    <row r="31" spans="2:10" ht="18" customHeight="1">
      <c r="B31" s="5" t="s">
        <v>59</v>
      </c>
      <c r="C31" s="5" t="s">
        <v>64</v>
      </c>
      <c r="D31" s="5" t="s">
        <v>65</v>
      </c>
      <c r="E31" s="6">
        <v>45325</v>
      </c>
      <c r="F31" s="5">
        <v>35</v>
      </c>
      <c r="G31" s="5" t="str">
        <f t="shared" si="0"/>
        <v>Long</v>
      </c>
      <c r="H31" s="6">
        <v>45360</v>
      </c>
      <c r="I31" s="6" t="str">
        <f t="shared" si="1"/>
        <v>Not Started</v>
      </c>
      <c r="J31" s="7">
        <v>0</v>
      </c>
    </row>
    <row r="32" spans="2:10" ht="18" customHeight="1">
      <c r="B32" s="5" t="s">
        <v>66</v>
      </c>
      <c r="C32" s="5" t="s">
        <v>67</v>
      </c>
      <c r="D32" s="5" t="s">
        <v>68</v>
      </c>
      <c r="E32" s="6">
        <v>45292</v>
      </c>
      <c r="F32" s="5">
        <v>25</v>
      </c>
      <c r="G32" s="5" t="str">
        <f t="shared" si="0"/>
        <v>Medium</v>
      </c>
      <c r="H32" s="6">
        <v>45317</v>
      </c>
      <c r="I32" s="6" t="str">
        <f t="shared" si="1"/>
        <v>Completed</v>
      </c>
      <c r="J32" s="7">
        <v>1</v>
      </c>
    </row>
    <row r="33" spans="2:10" ht="18" customHeight="1">
      <c r="B33" s="5" t="s">
        <v>66</v>
      </c>
      <c r="C33" s="5" t="s">
        <v>69</v>
      </c>
      <c r="D33" s="5" t="s">
        <v>70</v>
      </c>
      <c r="E33" s="6">
        <v>45318</v>
      </c>
      <c r="F33" s="5">
        <v>31</v>
      </c>
      <c r="G33" s="5" t="str">
        <f t="shared" si="0"/>
        <v>Long</v>
      </c>
      <c r="H33" s="6">
        <v>45349</v>
      </c>
      <c r="I33" s="6" t="str">
        <f t="shared" si="1"/>
        <v>Completed</v>
      </c>
      <c r="J33" s="7">
        <v>1</v>
      </c>
    </row>
    <row r="34" spans="2:10" ht="18" customHeight="1">
      <c r="B34" s="5" t="s">
        <v>66</v>
      </c>
      <c r="C34" s="5" t="s">
        <v>71</v>
      </c>
      <c r="D34" s="5" t="s">
        <v>72</v>
      </c>
      <c r="E34" s="6">
        <v>45353</v>
      </c>
      <c r="F34" s="5">
        <v>22</v>
      </c>
      <c r="G34" s="5" t="str">
        <f t="shared" si="0"/>
        <v>Medium</v>
      </c>
      <c r="H34" s="6">
        <v>45375</v>
      </c>
      <c r="I34" s="6" t="str">
        <f t="shared" si="1"/>
        <v>Not Started</v>
      </c>
      <c r="J34" s="7">
        <v>0</v>
      </c>
    </row>
    <row r="35" spans="2:10" ht="18" customHeight="1">
      <c r="B35" s="5" t="s">
        <v>73</v>
      </c>
      <c r="C35" s="5" t="s">
        <v>74</v>
      </c>
      <c r="D35" s="5" t="s">
        <v>75</v>
      </c>
      <c r="E35" s="6">
        <v>45294</v>
      </c>
      <c r="F35" s="5">
        <v>30</v>
      </c>
      <c r="G35" s="5" t="str">
        <f t="shared" si="0"/>
        <v>Long</v>
      </c>
      <c r="H35" s="6">
        <v>45324</v>
      </c>
      <c r="I35" s="6" t="str">
        <f t="shared" si="1"/>
        <v>In Progress</v>
      </c>
      <c r="J35" s="7">
        <v>0.4</v>
      </c>
    </row>
    <row r="36" spans="2:10" ht="18" customHeight="1">
      <c r="B36" s="5" t="s">
        <v>73</v>
      </c>
      <c r="C36" s="5" t="s">
        <v>76</v>
      </c>
      <c r="D36" s="5" t="s">
        <v>77</v>
      </c>
      <c r="E36" s="6">
        <v>45325</v>
      </c>
      <c r="F36" s="5">
        <v>25</v>
      </c>
      <c r="G36" s="5" t="str">
        <f t="shared" si="0"/>
        <v>Medium</v>
      </c>
      <c r="H36" s="6">
        <v>45350</v>
      </c>
      <c r="I36" s="6" t="str">
        <f t="shared" si="1"/>
        <v>Not Started</v>
      </c>
      <c r="J36" s="7">
        <v>0</v>
      </c>
    </row>
    <row r="37" spans="2:10" ht="18" customHeight="1">
      <c r="B37" s="5" t="s">
        <v>73</v>
      </c>
      <c r="C37" s="5" t="s">
        <v>78</v>
      </c>
      <c r="D37" s="5" t="s">
        <v>79</v>
      </c>
      <c r="E37" s="6">
        <v>45351</v>
      </c>
      <c r="F37" s="5">
        <v>20</v>
      </c>
      <c r="G37" s="5" t="str">
        <f t="shared" si="0"/>
        <v>Medium</v>
      </c>
      <c r="H37" s="6">
        <v>45371</v>
      </c>
      <c r="I37" s="6" t="str">
        <f t="shared" si="1"/>
        <v>Not Started</v>
      </c>
      <c r="J37" s="7">
        <v>0</v>
      </c>
    </row>
    <row r="38" spans="2:10" ht="18" customHeight="1">
      <c r="B38" s="5" t="s">
        <v>80</v>
      </c>
      <c r="C38" s="5" t="s">
        <v>81</v>
      </c>
      <c r="D38" s="5" t="s">
        <v>22</v>
      </c>
      <c r="E38" s="6">
        <v>45293</v>
      </c>
      <c r="F38" s="5">
        <v>35</v>
      </c>
      <c r="G38" s="5" t="str">
        <f t="shared" si="0"/>
        <v>Long</v>
      </c>
      <c r="H38" s="6">
        <v>45328</v>
      </c>
      <c r="I38" s="6" t="str">
        <f t="shared" si="1"/>
        <v>In Progress</v>
      </c>
      <c r="J38" s="7">
        <v>0.6</v>
      </c>
    </row>
    <row r="39" spans="2:10" ht="18" customHeight="1">
      <c r="B39" s="5" t="s">
        <v>80</v>
      </c>
      <c r="C39" s="5" t="s">
        <v>82</v>
      </c>
      <c r="D39" s="5" t="s">
        <v>83</v>
      </c>
      <c r="E39" s="6">
        <v>45324</v>
      </c>
      <c r="F39" s="5">
        <v>32</v>
      </c>
      <c r="G39" s="5" t="str">
        <f t="shared" si="0"/>
        <v>Long</v>
      </c>
      <c r="H39" s="6">
        <v>45356</v>
      </c>
      <c r="I39" s="6" t="str">
        <f t="shared" si="1"/>
        <v>Not Started</v>
      </c>
      <c r="J39" s="7">
        <v>0</v>
      </c>
    </row>
    <row r="40" spans="2:10" ht="18" customHeight="1">
      <c r="B40" s="5" t="s">
        <v>80</v>
      </c>
      <c r="C40" s="5" t="s">
        <v>84</v>
      </c>
      <c r="D40" s="5" t="s">
        <v>85</v>
      </c>
      <c r="E40" s="6">
        <v>45357</v>
      </c>
      <c r="F40" s="5">
        <v>25</v>
      </c>
      <c r="G40" s="5" t="str">
        <f t="shared" si="0"/>
        <v>Medium</v>
      </c>
      <c r="H40" s="6">
        <v>45382</v>
      </c>
      <c r="I40" s="6" t="str">
        <f t="shared" si="1"/>
        <v>Not Started</v>
      </c>
      <c r="J40" s="7">
        <v>0</v>
      </c>
    </row>
    <row r="41" spans="2:10" ht="18" customHeight="1">
      <c r="B41" s="5" t="s">
        <v>86</v>
      </c>
      <c r="C41" s="5" t="s">
        <v>87</v>
      </c>
      <c r="D41" s="5" t="s">
        <v>88</v>
      </c>
      <c r="E41" s="6">
        <v>45295</v>
      </c>
      <c r="F41" s="5">
        <v>27</v>
      </c>
      <c r="G41" s="5" t="str">
        <f t="shared" si="0"/>
        <v>Long</v>
      </c>
      <c r="H41" s="6">
        <v>45322</v>
      </c>
      <c r="I41" s="6" t="str">
        <f t="shared" si="1"/>
        <v>In Progress</v>
      </c>
      <c r="J41" s="7">
        <v>0.8</v>
      </c>
    </row>
    <row r="42" spans="2:10" ht="18" customHeight="1">
      <c r="B42" s="5" t="s">
        <v>86</v>
      </c>
      <c r="C42" s="5" t="s">
        <v>89</v>
      </c>
      <c r="D42" s="5" t="s">
        <v>90</v>
      </c>
      <c r="E42" s="6">
        <v>45319</v>
      </c>
      <c r="F42" s="5">
        <v>30</v>
      </c>
      <c r="G42" s="5" t="str">
        <f t="shared" si="0"/>
        <v>Long</v>
      </c>
      <c r="H42" s="6">
        <v>45349</v>
      </c>
      <c r="I42" s="6" t="str">
        <f t="shared" si="1"/>
        <v>Not Started</v>
      </c>
      <c r="J42" s="7">
        <v>0</v>
      </c>
    </row>
    <row r="43" spans="2:10" ht="18" customHeight="1">
      <c r="B43" s="5" t="s">
        <v>86</v>
      </c>
      <c r="C43" s="5" t="s">
        <v>91</v>
      </c>
      <c r="D43" s="5" t="s">
        <v>92</v>
      </c>
      <c r="E43" s="6">
        <v>45350</v>
      </c>
      <c r="F43" s="5">
        <v>22</v>
      </c>
      <c r="G43" s="5" t="str">
        <f t="shared" si="0"/>
        <v>Medium</v>
      </c>
      <c r="H43" s="6">
        <v>45372</v>
      </c>
      <c r="I43" s="6" t="str">
        <f t="shared" si="1"/>
        <v>Not Started</v>
      </c>
      <c r="J43" s="7">
        <v>0</v>
      </c>
    </row>
    <row r="44" spans="2:10" ht="18" customHeight="1">
      <c r="B44" s="5" t="s">
        <v>93</v>
      </c>
      <c r="C44" s="5" t="s">
        <v>94</v>
      </c>
      <c r="D44" s="5" t="s">
        <v>95</v>
      </c>
      <c r="E44" s="6">
        <v>45294</v>
      </c>
      <c r="F44" s="5">
        <v>25</v>
      </c>
      <c r="G44" s="5" t="str">
        <f t="shared" si="0"/>
        <v>Medium</v>
      </c>
      <c r="H44" s="6">
        <v>45319</v>
      </c>
      <c r="I44" s="6" t="str">
        <f t="shared" si="1"/>
        <v>In Progress</v>
      </c>
      <c r="J44" s="7">
        <v>0.3</v>
      </c>
    </row>
    <row r="45" spans="2:10" ht="18" customHeight="1">
      <c r="B45" s="5" t="s">
        <v>93</v>
      </c>
      <c r="C45" s="5" t="s">
        <v>96</v>
      </c>
      <c r="D45" s="5" t="s">
        <v>97</v>
      </c>
      <c r="E45" s="6">
        <v>45325</v>
      </c>
      <c r="F45" s="5">
        <v>20</v>
      </c>
      <c r="G45" s="5" t="str">
        <f t="shared" si="0"/>
        <v>Medium</v>
      </c>
      <c r="H45" s="6">
        <v>45345</v>
      </c>
      <c r="I45" s="6" t="str">
        <f t="shared" si="1"/>
        <v>Not Started</v>
      </c>
      <c r="J45" s="7">
        <v>0</v>
      </c>
    </row>
    <row r="46" spans="2:10" ht="18" customHeight="1">
      <c r="B46" s="5" t="s">
        <v>93</v>
      </c>
      <c r="C46" s="5" t="s">
        <v>98</v>
      </c>
      <c r="D46" s="5" t="s">
        <v>99</v>
      </c>
      <c r="E46" s="6">
        <v>45346</v>
      </c>
      <c r="F46" s="5">
        <v>35</v>
      </c>
      <c r="G46" s="5" t="str">
        <f t="shared" si="0"/>
        <v>Long</v>
      </c>
      <c r="H46" s="6">
        <v>45381</v>
      </c>
      <c r="I46" s="6" t="str">
        <f t="shared" si="1"/>
        <v>Not Started</v>
      </c>
      <c r="J46" s="7">
        <v>0</v>
      </c>
    </row>
    <row r="47" spans="2:10" ht="18" customHeight="1">
      <c r="B47" s="5" t="s">
        <v>100</v>
      </c>
      <c r="C47" s="5" t="s">
        <v>101</v>
      </c>
      <c r="D47" s="5" t="s">
        <v>102</v>
      </c>
      <c r="E47" s="6">
        <v>45294</v>
      </c>
      <c r="F47" s="5">
        <v>25</v>
      </c>
      <c r="G47" s="5" t="str">
        <f t="shared" si="0"/>
        <v>Medium</v>
      </c>
      <c r="H47" s="6">
        <v>45319</v>
      </c>
      <c r="I47" s="6" t="str">
        <f t="shared" si="1"/>
        <v>In Progress</v>
      </c>
      <c r="J47" s="7">
        <v>0.5</v>
      </c>
    </row>
    <row r="48" spans="2:10" ht="18" customHeight="1">
      <c r="B48" s="5" t="s">
        <v>100</v>
      </c>
      <c r="C48" s="5" t="s">
        <v>103</v>
      </c>
      <c r="D48" s="5" t="s">
        <v>104</v>
      </c>
      <c r="E48" s="6">
        <v>45320</v>
      </c>
      <c r="F48" s="5">
        <v>30</v>
      </c>
      <c r="G48" s="5" t="str">
        <f t="shared" si="0"/>
        <v>Long</v>
      </c>
      <c r="H48" s="6">
        <v>45350</v>
      </c>
      <c r="I48" s="6" t="str">
        <f t="shared" si="1"/>
        <v>Completed</v>
      </c>
      <c r="J48" s="7">
        <v>1</v>
      </c>
    </row>
    <row r="49" spans="2:10" ht="18" customHeight="1">
      <c r="B49" s="5" t="s">
        <v>100</v>
      </c>
      <c r="C49" s="5" t="s">
        <v>105</v>
      </c>
      <c r="D49" s="5" t="s">
        <v>106</v>
      </c>
      <c r="E49" s="6">
        <v>45380</v>
      </c>
      <c r="F49" s="5">
        <v>20</v>
      </c>
      <c r="G49" s="5" t="str">
        <f t="shared" si="0"/>
        <v>Medium</v>
      </c>
      <c r="H49" s="6">
        <v>45400</v>
      </c>
      <c r="I49" s="6" t="str">
        <f t="shared" si="1"/>
        <v>Not Started</v>
      </c>
      <c r="J49" s="7">
        <v>0</v>
      </c>
    </row>
    <row r="50" spans="2:10" ht="18" customHeight="1">
      <c r="B50" s="5" t="s">
        <v>107</v>
      </c>
      <c r="C50" s="5" t="s">
        <v>108</v>
      </c>
      <c r="D50" s="5" t="s">
        <v>49</v>
      </c>
      <c r="E50" s="6">
        <v>45293</v>
      </c>
      <c r="F50" s="5">
        <v>25</v>
      </c>
      <c r="G50" s="5" t="str">
        <f t="shared" si="0"/>
        <v>Medium</v>
      </c>
      <c r="H50" s="6">
        <v>45318</v>
      </c>
      <c r="I50" s="6" t="str">
        <f t="shared" si="1"/>
        <v>In Progress</v>
      </c>
      <c r="J50" s="7">
        <v>0.2</v>
      </c>
    </row>
    <row r="51" spans="2:10" ht="18" customHeight="1">
      <c r="B51" s="5" t="s">
        <v>107</v>
      </c>
      <c r="C51" s="5" t="s">
        <v>109</v>
      </c>
      <c r="D51" s="5" t="s">
        <v>51</v>
      </c>
      <c r="E51" s="6">
        <v>45324</v>
      </c>
      <c r="F51" s="5">
        <v>22</v>
      </c>
      <c r="G51" s="5" t="str">
        <f t="shared" si="0"/>
        <v>Medium</v>
      </c>
      <c r="H51" s="6">
        <v>45346</v>
      </c>
      <c r="I51" s="6" t="str">
        <f t="shared" si="1"/>
        <v>Not Started</v>
      </c>
      <c r="J51" s="7">
        <v>0</v>
      </c>
    </row>
    <row r="52" spans="2:10" ht="18" customHeight="1">
      <c r="B52" s="5" t="s">
        <v>107</v>
      </c>
      <c r="C52" s="5" t="s">
        <v>110</v>
      </c>
      <c r="D52" s="5" t="s">
        <v>111</v>
      </c>
      <c r="E52" s="6">
        <v>45345</v>
      </c>
      <c r="F52" s="5">
        <v>27</v>
      </c>
      <c r="G52" s="5" t="str">
        <f t="shared" si="0"/>
        <v>Long</v>
      </c>
      <c r="H52" s="6">
        <v>45372</v>
      </c>
      <c r="I52" s="6" t="str">
        <f t="shared" si="1"/>
        <v>Not Started</v>
      </c>
      <c r="J52" s="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pivot_data</vt:lpstr>
      <vt:lpstr>Project Management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Seemanto Saha</dc:creator>
  <cp:lastModifiedBy>shirasangiakshata9@gmail.com</cp:lastModifiedBy>
  <dcterms:created xsi:type="dcterms:W3CDTF">2024-02-19T11:44:19Z</dcterms:created>
  <dcterms:modified xsi:type="dcterms:W3CDTF">2026-01-07T13:04:09Z</dcterms:modified>
</cp:coreProperties>
</file>